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ustinfigueroa/Mirror/Python/ece595dm1/"/>
    </mc:Choice>
  </mc:AlternateContent>
  <xr:revisionPtr revIDLastSave="0" documentId="13_ncr:1_{1F4C625F-8E13-7E48-A916-4FF2C4CCF9D0}" xr6:coauthVersionLast="47" xr6:coauthVersionMax="47" xr10:uidLastSave="{00000000-0000-0000-0000-000000000000}"/>
  <bookViews>
    <workbookView xWindow="40100" yWindow="-1000" windowWidth="22840" windowHeight="20600" xr2:uid="{00000000-000D-0000-FFFF-FFFF00000000}"/>
  </bookViews>
  <sheets>
    <sheet name="iris_with_clust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" i="1" l="1"/>
  <c r="R9" i="1"/>
  <c r="U9" i="1" s="1"/>
  <c r="S9" i="1" l="1"/>
  <c r="V9" i="1"/>
  <c r="O10" i="1"/>
  <c r="J151" i="1" s="1"/>
  <c r="N10" i="1"/>
  <c r="I151" i="1" s="1"/>
  <c r="M10" i="1"/>
  <c r="H151" i="1" s="1"/>
  <c r="L10" i="1"/>
  <c r="G151" i="1" s="1"/>
  <c r="H148" i="1"/>
  <c r="G148" i="1"/>
  <c r="I146" i="1"/>
  <c r="G146" i="1"/>
  <c r="I142" i="1"/>
  <c r="G142" i="1"/>
  <c r="J140" i="1"/>
  <c r="I140" i="1"/>
  <c r="J136" i="1"/>
  <c r="I136" i="1"/>
  <c r="H136" i="1"/>
  <c r="G136" i="1"/>
  <c r="H132" i="1"/>
  <c r="G132" i="1"/>
  <c r="I130" i="1"/>
  <c r="G130" i="1"/>
  <c r="I126" i="1"/>
  <c r="G126" i="1"/>
  <c r="J124" i="1"/>
  <c r="I124" i="1"/>
  <c r="J120" i="1"/>
  <c r="I120" i="1"/>
  <c r="H120" i="1"/>
  <c r="G120" i="1"/>
  <c r="H116" i="1"/>
  <c r="G116" i="1"/>
  <c r="I114" i="1"/>
  <c r="G114" i="1"/>
  <c r="I110" i="1"/>
  <c r="G110" i="1"/>
  <c r="J108" i="1"/>
  <c r="I108" i="1"/>
  <c r="J104" i="1"/>
  <c r="I104" i="1"/>
  <c r="H104" i="1"/>
  <c r="G104" i="1"/>
  <c r="I102" i="1"/>
  <c r="H100" i="1"/>
  <c r="G100" i="1"/>
  <c r="I98" i="1"/>
  <c r="G98" i="1"/>
  <c r="J96" i="1"/>
  <c r="I94" i="1"/>
  <c r="G94" i="1"/>
  <c r="J92" i="1"/>
  <c r="I92" i="1"/>
  <c r="H92" i="1"/>
  <c r="J88" i="1"/>
  <c r="I88" i="1"/>
  <c r="H88" i="1"/>
  <c r="G88" i="1"/>
  <c r="I86" i="1"/>
  <c r="G86" i="1"/>
  <c r="H84" i="1"/>
  <c r="G84" i="1"/>
  <c r="I82" i="1"/>
  <c r="G82" i="1"/>
  <c r="J80" i="1"/>
  <c r="I80" i="1"/>
  <c r="I78" i="1"/>
  <c r="G78" i="1"/>
  <c r="J76" i="1"/>
  <c r="I76" i="1"/>
  <c r="H76" i="1"/>
  <c r="G76" i="1"/>
  <c r="J72" i="1"/>
  <c r="I72" i="1"/>
  <c r="H72" i="1"/>
  <c r="G72" i="1"/>
  <c r="I70" i="1"/>
  <c r="G70" i="1"/>
  <c r="H68" i="1"/>
  <c r="G68" i="1"/>
  <c r="I66" i="1"/>
  <c r="G66" i="1"/>
  <c r="J64" i="1"/>
  <c r="I64" i="1"/>
  <c r="I62" i="1"/>
  <c r="G62" i="1"/>
  <c r="J60" i="1"/>
  <c r="I60" i="1"/>
  <c r="H60" i="1"/>
  <c r="G60" i="1"/>
  <c r="J56" i="1"/>
  <c r="I56" i="1"/>
  <c r="H56" i="1"/>
  <c r="G56" i="1"/>
  <c r="I54" i="1"/>
  <c r="G54" i="1"/>
  <c r="H52" i="1"/>
  <c r="G52" i="1"/>
  <c r="I50" i="1"/>
  <c r="G50" i="1"/>
  <c r="J48" i="1"/>
  <c r="I48" i="1"/>
  <c r="I46" i="1"/>
  <c r="G46" i="1"/>
  <c r="J44" i="1"/>
  <c r="I44" i="1"/>
  <c r="H44" i="1"/>
  <c r="G44" i="1"/>
  <c r="J40" i="1"/>
  <c r="I40" i="1"/>
  <c r="H40" i="1"/>
  <c r="G40" i="1"/>
  <c r="I38" i="1"/>
  <c r="G38" i="1"/>
  <c r="J36" i="1"/>
  <c r="I36" i="1"/>
  <c r="H36" i="1"/>
  <c r="G36" i="1"/>
  <c r="I34" i="1"/>
  <c r="G34" i="1"/>
  <c r="J32" i="1"/>
  <c r="I32" i="1"/>
  <c r="H32" i="1"/>
  <c r="G32" i="1"/>
  <c r="I30" i="1"/>
  <c r="G30" i="1"/>
  <c r="J28" i="1"/>
  <c r="I28" i="1"/>
  <c r="H28" i="1"/>
  <c r="G28" i="1"/>
  <c r="I26" i="1"/>
  <c r="G26" i="1"/>
  <c r="J24" i="1"/>
  <c r="I24" i="1"/>
  <c r="H24" i="1"/>
  <c r="G24" i="1"/>
  <c r="I22" i="1"/>
  <c r="G22" i="1"/>
  <c r="E180" i="1"/>
  <c r="D180" i="1"/>
  <c r="H21" i="1"/>
  <c r="G21" i="1"/>
  <c r="I20" i="1"/>
  <c r="G20" i="1"/>
  <c r="H19" i="1"/>
  <c r="G19" i="1"/>
  <c r="J18" i="1"/>
  <c r="I18" i="1"/>
  <c r="G18" i="1"/>
  <c r="G17" i="1"/>
  <c r="J16" i="1"/>
  <c r="I16" i="1"/>
  <c r="H16" i="1"/>
  <c r="G16" i="1"/>
  <c r="G15" i="1"/>
  <c r="I14" i="1"/>
  <c r="H14" i="1"/>
  <c r="G14" i="1"/>
  <c r="H13" i="1"/>
  <c r="G13" i="1"/>
  <c r="I12" i="1"/>
  <c r="G12" i="1"/>
  <c r="H11" i="1"/>
  <c r="G11" i="1"/>
  <c r="J10" i="1"/>
  <c r="I10" i="1"/>
  <c r="G10" i="1"/>
  <c r="G9" i="1"/>
  <c r="J8" i="1"/>
  <c r="I8" i="1"/>
  <c r="H8" i="1"/>
  <c r="G8" i="1"/>
  <c r="G7" i="1"/>
  <c r="I6" i="1"/>
  <c r="H6" i="1"/>
  <c r="G6" i="1"/>
  <c r="P164" i="1"/>
  <c r="O164" i="1"/>
  <c r="I5" i="1"/>
  <c r="G5" i="1"/>
  <c r="R163" i="1"/>
  <c r="Q163" i="1"/>
  <c r="P163" i="1"/>
  <c r="O163" i="1"/>
  <c r="I4" i="1"/>
  <c r="G4" i="1"/>
  <c r="J3" i="1"/>
  <c r="I3" i="1"/>
  <c r="H3" i="1"/>
  <c r="G3" i="1"/>
  <c r="I2" i="1"/>
  <c r="G2" i="1"/>
  <c r="G92" i="1" l="1"/>
  <c r="I96" i="1"/>
  <c r="G102" i="1"/>
  <c r="G108" i="1"/>
  <c r="I112" i="1"/>
  <c r="G118" i="1"/>
  <c r="G124" i="1"/>
  <c r="AD124" i="1" s="1"/>
  <c r="I128" i="1"/>
  <c r="G134" i="1"/>
  <c r="G140" i="1"/>
  <c r="I144" i="1"/>
  <c r="G150" i="1"/>
  <c r="H108" i="1"/>
  <c r="J112" i="1"/>
  <c r="I118" i="1"/>
  <c r="H124" i="1"/>
  <c r="J128" i="1"/>
  <c r="I134" i="1"/>
  <c r="H140" i="1"/>
  <c r="AC140" i="1" s="1"/>
  <c r="J144" i="1"/>
  <c r="I150" i="1"/>
  <c r="G42" i="1"/>
  <c r="G48" i="1"/>
  <c r="AD48" i="1" s="1"/>
  <c r="I52" i="1"/>
  <c r="G58" i="1"/>
  <c r="G64" i="1"/>
  <c r="I68" i="1"/>
  <c r="G74" i="1"/>
  <c r="G80" i="1"/>
  <c r="I84" i="1"/>
  <c r="AC84" i="1" s="1"/>
  <c r="G90" i="1"/>
  <c r="G96" i="1"/>
  <c r="AD96" i="1" s="1"/>
  <c r="I100" i="1"/>
  <c r="G106" i="1"/>
  <c r="G112" i="1"/>
  <c r="AC112" i="1" s="1"/>
  <c r="I116" i="1"/>
  <c r="G122" i="1"/>
  <c r="G128" i="1"/>
  <c r="I132" i="1"/>
  <c r="AC132" i="1" s="1"/>
  <c r="G138" i="1"/>
  <c r="G144" i="1"/>
  <c r="I148" i="1"/>
  <c r="I42" i="1"/>
  <c r="H48" i="1"/>
  <c r="J52" i="1"/>
  <c r="I58" i="1"/>
  <c r="H64" i="1"/>
  <c r="J68" i="1"/>
  <c r="I74" i="1"/>
  <c r="H80" i="1"/>
  <c r="J84" i="1"/>
  <c r="I90" i="1"/>
  <c r="H96" i="1"/>
  <c r="J100" i="1"/>
  <c r="I106" i="1"/>
  <c r="H112" i="1"/>
  <c r="AD112" i="1" s="1"/>
  <c r="J116" i="1"/>
  <c r="I122" i="1"/>
  <c r="H128" i="1"/>
  <c r="J132" i="1"/>
  <c r="I138" i="1"/>
  <c r="H144" i="1"/>
  <c r="J148" i="1"/>
  <c r="AC148" i="1" s="1"/>
  <c r="AC32" i="1"/>
  <c r="AD32" i="1"/>
  <c r="AC64" i="1"/>
  <c r="AD64" i="1"/>
  <c r="AC80" i="1"/>
  <c r="AD80" i="1"/>
  <c r="AC96" i="1"/>
  <c r="AD128" i="1"/>
  <c r="AC128" i="1"/>
  <c r="AD144" i="1"/>
  <c r="AC144" i="1"/>
  <c r="AC60" i="1"/>
  <c r="AD60" i="1"/>
  <c r="AC76" i="1"/>
  <c r="AD76" i="1"/>
  <c r="AC92" i="1"/>
  <c r="AD92" i="1"/>
  <c r="AC108" i="1"/>
  <c r="AD108" i="1"/>
  <c r="AC124" i="1"/>
  <c r="AD140" i="1"/>
  <c r="AC16" i="1"/>
  <c r="AD16" i="1"/>
  <c r="AC28" i="1"/>
  <c r="AD28" i="1"/>
  <c r="AC44" i="1"/>
  <c r="AD44" i="1"/>
  <c r="AC8" i="1"/>
  <c r="AD8" i="1"/>
  <c r="AC24" i="1"/>
  <c r="AD24" i="1"/>
  <c r="AC40" i="1"/>
  <c r="AD40" i="1"/>
  <c r="AC56" i="1"/>
  <c r="AD56" i="1"/>
  <c r="AC72" i="1"/>
  <c r="AD72" i="1"/>
  <c r="AC88" i="1"/>
  <c r="AD88" i="1"/>
  <c r="AC104" i="1"/>
  <c r="AD104" i="1"/>
  <c r="AC120" i="1"/>
  <c r="AD120" i="1"/>
  <c r="AC136" i="1"/>
  <c r="AD136" i="1"/>
  <c r="AC151" i="1"/>
  <c r="AD151" i="1"/>
  <c r="AC36" i="1"/>
  <c r="AD36" i="1"/>
  <c r="AC52" i="1"/>
  <c r="AD52" i="1"/>
  <c r="AC68" i="1"/>
  <c r="AD68" i="1"/>
  <c r="AC100" i="1"/>
  <c r="AD100" i="1"/>
  <c r="AC116" i="1"/>
  <c r="AD116" i="1"/>
  <c r="AD148" i="1"/>
  <c r="AC2" i="1"/>
  <c r="AD3" i="1"/>
  <c r="AC3" i="1"/>
  <c r="AD18" i="1"/>
  <c r="H2" i="1"/>
  <c r="H4" i="1"/>
  <c r="H5" i="1"/>
  <c r="J6" i="1"/>
  <c r="AC6" i="1" s="1"/>
  <c r="H9" i="1"/>
  <c r="H12" i="1"/>
  <c r="J14" i="1"/>
  <c r="AC14" i="1" s="1"/>
  <c r="H17" i="1"/>
  <c r="AD17" i="1" s="1"/>
  <c r="H20" i="1"/>
  <c r="H22" i="1"/>
  <c r="H26" i="1"/>
  <c r="H30" i="1"/>
  <c r="AD30" i="1" s="1"/>
  <c r="H34" i="1"/>
  <c r="H38" i="1"/>
  <c r="H42" i="1"/>
  <c r="AC42" i="1" s="1"/>
  <c r="H46" i="1"/>
  <c r="AD46" i="1" s="1"/>
  <c r="H50" i="1"/>
  <c r="H54" i="1"/>
  <c r="H58" i="1"/>
  <c r="H62" i="1"/>
  <c r="H66" i="1"/>
  <c r="H70" i="1"/>
  <c r="H74" i="1"/>
  <c r="AC74" i="1" s="1"/>
  <c r="H78" i="1"/>
  <c r="AD78" i="1" s="1"/>
  <c r="H82" i="1"/>
  <c r="H86" i="1"/>
  <c r="H90" i="1"/>
  <c r="H94" i="1"/>
  <c r="AD94" i="1" s="1"/>
  <c r="H98" i="1"/>
  <c r="H102" i="1"/>
  <c r="H106" i="1"/>
  <c r="AC106" i="1" s="1"/>
  <c r="H110" i="1"/>
  <c r="AD110" i="1" s="1"/>
  <c r="H114" i="1"/>
  <c r="H118" i="1"/>
  <c r="H122" i="1"/>
  <c r="H126" i="1"/>
  <c r="H130" i="1"/>
  <c r="H134" i="1"/>
  <c r="H138" i="1"/>
  <c r="AC138" i="1" s="1"/>
  <c r="H142" i="1"/>
  <c r="AD142" i="1" s="1"/>
  <c r="H146" i="1"/>
  <c r="H150" i="1"/>
  <c r="J2" i="1"/>
  <c r="J4" i="1"/>
  <c r="J5" i="1"/>
  <c r="H7" i="1"/>
  <c r="H10" i="1"/>
  <c r="AC10" i="1" s="1"/>
  <c r="J12" i="1"/>
  <c r="AC12" i="1" s="1"/>
  <c r="H15" i="1"/>
  <c r="H18" i="1"/>
  <c r="AC18" i="1" s="1"/>
  <c r="J20" i="1"/>
  <c r="J22" i="1"/>
  <c r="J26" i="1"/>
  <c r="J30" i="1"/>
  <c r="AC30" i="1" s="1"/>
  <c r="J34" i="1"/>
  <c r="AC34" i="1" s="1"/>
  <c r="J38" i="1"/>
  <c r="J42" i="1"/>
  <c r="J46" i="1"/>
  <c r="J50" i="1"/>
  <c r="J54" i="1"/>
  <c r="J58" i="1"/>
  <c r="J62" i="1"/>
  <c r="AC62" i="1" s="1"/>
  <c r="J66" i="1"/>
  <c r="AC66" i="1" s="1"/>
  <c r="J70" i="1"/>
  <c r="AC70" i="1" s="1"/>
  <c r="J74" i="1"/>
  <c r="J78" i="1"/>
  <c r="J82" i="1"/>
  <c r="J86" i="1"/>
  <c r="J90" i="1"/>
  <c r="J94" i="1"/>
  <c r="AC94" i="1" s="1"/>
  <c r="J98" i="1"/>
  <c r="AC98" i="1" s="1"/>
  <c r="J102" i="1"/>
  <c r="AC102" i="1" s="1"/>
  <c r="J106" i="1"/>
  <c r="J110" i="1"/>
  <c r="J114" i="1"/>
  <c r="J118" i="1"/>
  <c r="J122" i="1"/>
  <c r="J126" i="1"/>
  <c r="AC126" i="1" s="1"/>
  <c r="J130" i="1"/>
  <c r="AC130" i="1" s="1"/>
  <c r="J134" i="1"/>
  <c r="AC134" i="1" s="1"/>
  <c r="J138" i="1"/>
  <c r="J142" i="1"/>
  <c r="J146" i="1"/>
  <c r="J150" i="1"/>
  <c r="I7" i="1"/>
  <c r="I9" i="1"/>
  <c r="I11" i="1"/>
  <c r="I13" i="1"/>
  <c r="I15" i="1"/>
  <c r="I17" i="1"/>
  <c r="I19" i="1"/>
  <c r="I21" i="1"/>
  <c r="G23" i="1"/>
  <c r="M3" i="1" s="1"/>
  <c r="G25" i="1"/>
  <c r="G27" i="1"/>
  <c r="G29" i="1"/>
  <c r="G31" i="1"/>
  <c r="G33" i="1"/>
  <c r="G35" i="1"/>
  <c r="G37" i="1"/>
  <c r="G39" i="1"/>
  <c r="G41" i="1"/>
  <c r="G43" i="1"/>
  <c r="G45" i="1"/>
  <c r="G47" i="1"/>
  <c r="G49" i="1"/>
  <c r="G51" i="1"/>
  <c r="G53" i="1"/>
  <c r="G55" i="1"/>
  <c r="G57" i="1"/>
  <c r="G59" i="1"/>
  <c r="G61" i="1"/>
  <c r="G63" i="1"/>
  <c r="G65" i="1"/>
  <c r="G67" i="1"/>
  <c r="G69" i="1"/>
  <c r="G71" i="1"/>
  <c r="G73" i="1"/>
  <c r="G75" i="1"/>
  <c r="G77" i="1"/>
  <c r="G79" i="1"/>
  <c r="G81" i="1"/>
  <c r="G83" i="1"/>
  <c r="G85" i="1"/>
  <c r="G87" i="1"/>
  <c r="G89" i="1"/>
  <c r="G91" i="1"/>
  <c r="G93" i="1"/>
  <c r="G95" i="1"/>
  <c r="G97" i="1"/>
  <c r="G99" i="1"/>
  <c r="G101" i="1"/>
  <c r="G103" i="1"/>
  <c r="G105" i="1"/>
  <c r="G107" i="1"/>
  <c r="G109" i="1"/>
  <c r="G111" i="1"/>
  <c r="G113" i="1"/>
  <c r="G115" i="1"/>
  <c r="G117" i="1"/>
  <c r="G119" i="1"/>
  <c r="G121" i="1"/>
  <c r="G123" i="1"/>
  <c r="G125" i="1"/>
  <c r="G127" i="1"/>
  <c r="G129" i="1"/>
  <c r="G131" i="1"/>
  <c r="G133" i="1"/>
  <c r="G135" i="1"/>
  <c r="G137" i="1"/>
  <c r="G139" i="1"/>
  <c r="G141" i="1"/>
  <c r="G143" i="1"/>
  <c r="G145" i="1"/>
  <c r="G147" i="1"/>
  <c r="G149" i="1"/>
  <c r="J7" i="1"/>
  <c r="J9" i="1"/>
  <c r="J11" i="1"/>
  <c r="J13" i="1"/>
  <c r="J15" i="1"/>
  <c r="J17" i="1"/>
  <c r="J19" i="1"/>
  <c r="J21" i="1"/>
  <c r="H23" i="1"/>
  <c r="H25" i="1"/>
  <c r="H27" i="1"/>
  <c r="H29" i="1"/>
  <c r="H31" i="1"/>
  <c r="H33" i="1"/>
  <c r="H35" i="1"/>
  <c r="H37" i="1"/>
  <c r="H39" i="1"/>
  <c r="H41" i="1"/>
  <c r="H43" i="1"/>
  <c r="H45" i="1"/>
  <c r="H47" i="1"/>
  <c r="H49" i="1"/>
  <c r="H51" i="1"/>
  <c r="H53" i="1"/>
  <c r="H55" i="1"/>
  <c r="H57" i="1"/>
  <c r="H59" i="1"/>
  <c r="H61" i="1"/>
  <c r="H63" i="1"/>
  <c r="H65" i="1"/>
  <c r="H67" i="1"/>
  <c r="H69" i="1"/>
  <c r="H71" i="1"/>
  <c r="H73" i="1"/>
  <c r="H75" i="1"/>
  <c r="H77" i="1"/>
  <c r="H79" i="1"/>
  <c r="H81" i="1"/>
  <c r="H83" i="1"/>
  <c r="H85" i="1"/>
  <c r="H87" i="1"/>
  <c r="H89" i="1"/>
  <c r="H91" i="1"/>
  <c r="H93" i="1"/>
  <c r="H95" i="1"/>
  <c r="H97" i="1"/>
  <c r="H99" i="1"/>
  <c r="H101" i="1"/>
  <c r="H103" i="1"/>
  <c r="H105" i="1"/>
  <c r="H107" i="1"/>
  <c r="H109" i="1"/>
  <c r="H111" i="1"/>
  <c r="H113" i="1"/>
  <c r="H115" i="1"/>
  <c r="H117" i="1"/>
  <c r="H119" i="1"/>
  <c r="H121" i="1"/>
  <c r="H123" i="1"/>
  <c r="H125" i="1"/>
  <c r="H127" i="1"/>
  <c r="H129" i="1"/>
  <c r="H131" i="1"/>
  <c r="H133" i="1"/>
  <c r="H135" i="1"/>
  <c r="H137" i="1"/>
  <c r="H139" i="1"/>
  <c r="H141" i="1"/>
  <c r="H143" i="1"/>
  <c r="H145" i="1"/>
  <c r="H147" i="1"/>
  <c r="H149" i="1"/>
  <c r="I23" i="1"/>
  <c r="I25" i="1"/>
  <c r="I27" i="1"/>
  <c r="I29" i="1"/>
  <c r="I31" i="1"/>
  <c r="I33" i="1"/>
  <c r="I35" i="1"/>
  <c r="I37" i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1" i="1"/>
  <c r="I83" i="1"/>
  <c r="I85" i="1"/>
  <c r="I87" i="1"/>
  <c r="I89" i="1"/>
  <c r="I91" i="1"/>
  <c r="I93" i="1"/>
  <c r="I95" i="1"/>
  <c r="I97" i="1"/>
  <c r="I99" i="1"/>
  <c r="I101" i="1"/>
  <c r="I103" i="1"/>
  <c r="I105" i="1"/>
  <c r="I107" i="1"/>
  <c r="I109" i="1"/>
  <c r="I111" i="1"/>
  <c r="I113" i="1"/>
  <c r="I115" i="1"/>
  <c r="I117" i="1"/>
  <c r="I119" i="1"/>
  <c r="I121" i="1"/>
  <c r="I123" i="1"/>
  <c r="I125" i="1"/>
  <c r="I127" i="1"/>
  <c r="I129" i="1"/>
  <c r="I131" i="1"/>
  <c r="I133" i="1"/>
  <c r="I135" i="1"/>
  <c r="I137" i="1"/>
  <c r="I139" i="1"/>
  <c r="I141" i="1"/>
  <c r="I143" i="1"/>
  <c r="I145" i="1"/>
  <c r="I147" i="1"/>
  <c r="I149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51" i="1"/>
  <c r="J53" i="1"/>
  <c r="J55" i="1"/>
  <c r="J57" i="1"/>
  <c r="J59" i="1"/>
  <c r="J61" i="1"/>
  <c r="J63" i="1"/>
  <c r="J65" i="1"/>
  <c r="J67" i="1"/>
  <c r="J69" i="1"/>
  <c r="J71" i="1"/>
  <c r="J73" i="1"/>
  <c r="J75" i="1"/>
  <c r="J77" i="1"/>
  <c r="J79" i="1"/>
  <c r="J81" i="1"/>
  <c r="J83" i="1"/>
  <c r="J85" i="1"/>
  <c r="J87" i="1"/>
  <c r="J89" i="1"/>
  <c r="J91" i="1"/>
  <c r="J93" i="1"/>
  <c r="J95" i="1"/>
  <c r="J97" i="1"/>
  <c r="J99" i="1"/>
  <c r="J101" i="1"/>
  <c r="J103" i="1"/>
  <c r="J105" i="1"/>
  <c r="J107" i="1"/>
  <c r="J109" i="1"/>
  <c r="J111" i="1"/>
  <c r="J113" i="1"/>
  <c r="J115" i="1"/>
  <c r="J117" i="1"/>
  <c r="J119" i="1"/>
  <c r="J121" i="1"/>
  <c r="J123" i="1"/>
  <c r="J125" i="1"/>
  <c r="J127" i="1"/>
  <c r="J129" i="1"/>
  <c r="J131" i="1"/>
  <c r="J133" i="1"/>
  <c r="J135" i="1"/>
  <c r="J137" i="1"/>
  <c r="J139" i="1"/>
  <c r="J141" i="1"/>
  <c r="J143" i="1"/>
  <c r="J145" i="1"/>
  <c r="J147" i="1"/>
  <c r="J149" i="1"/>
  <c r="O5" i="1" l="1"/>
  <c r="AD6" i="1"/>
  <c r="AD9" i="1"/>
  <c r="AC7" i="1"/>
  <c r="AC38" i="1"/>
  <c r="AD12" i="1"/>
  <c r="AD62" i="1"/>
  <c r="AC9" i="1"/>
  <c r="AC21" i="1"/>
  <c r="AD19" i="1"/>
  <c r="AC122" i="1"/>
  <c r="AC90" i="1"/>
  <c r="AC26" i="1"/>
  <c r="AC150" i="1"/>
  <c r="AC118" i="1"/>
  <c r="AC86" i="1"/>
  <c r="AC54" i="1"/>
  <c r="AD22" i="1"/>
  <c r="AD4" i="1"/>
  <c r="AD132" i="1"/>
  <c r="AD84" i="1"/>
  <c r="AC48" i="1"/>
  <c r="AC58" i="1"/>
  <c r="AD5" i="1"/>
  <c r="AC15" i="1"/>
  <c r="AC146" i="1"/>
  <c r="AC114" i="1"/>
  <c r="AC82" i="1"/>
  <c r="AC50" i="1"/>
  <c r="AD20" i="1"/>
  <c r="AD13" i="1"/>
  <c r="AD126" i="1"/>
  <c r="AD14" i="1"/>
  <c r="AC145" i="1"/>
  <c r="AD145" i="1"/>
  <c r="AC129" i="1"/>
  <c r="AD129" i="1"/>
  <c r="AC113" i="1"/>
  <c r="AD113" i="1"/>
  <c r="AC97" i="1"/>
  <c r="AD97" i="1"/>
  <c r="AC81" i="1"/>
  <c r="AD81" i="1"/>
  <c r="AC65" i="1"/>
  <c r="AD65" i="1"/>
  <c r="AC49" i="1"/>
  <c r="AD49" i="1"/>
  <c r="AC33" i="1"/>
  <c r="AD33" i="1"/>
  <c r="AC142" i="1"/>
  <c r="AC110" i="1"/>
  <c r="AC78" i="1"/>
  <c r="AC46" i="1"/>
  <c r="AC17" i="1"/>
  <c r="AC22" i="1"/>
  <c r="AC11" i="1"/>
  <c r="AD130" i="1"/>
  <c r="AD98" i="1"/>
  <c r="AD66" i="1"/>
  <c r="AD34" i="1"/>
  <c r="AD54" i="1"/>
  <c r="AD134" i="1"/>
  <c r="AD102" i="1"/>
  <c r="AD70" i="1"/>
  <c r="AD26" i="1"/>
  <c r="AD122" i="1"/>
  <c r="AD90" i="1"/>
  <c r="AD58" i="1"/>
  <c r="AD143" i="1"/>
  <c r="AC143" i="1"/>
  <c r="AD127" i="1"/>
  <c r="AC127" i="1"/>
  <c r="AD111" i="1"/>
  <c r="AC111" i="1"/>
  <c r="AC95" i="1"/>
  <c r="AD95" i="1"/>
  <c r="AC79" i="1"/>
  <c r="AD79" i="1"/>
  <c r="AD63" i="1"/>
  <c r="AC63" i="1"/>
  <c r="AC47" i="1"/>
  <c r="AD47" i="1"/>
  <c r="AC31" i="1"/>
  <c r="AD31" i="1"/>
  <c r="N4" i="1"/>
  <c r="AD2" i="1"/>
  <c r="AD10" i="1"/>
  <c r="AD11" i="1"/>
  <c r="AC125" i="1"/>
  <c r="AD125" i="1"/>
  <c r="AC77" i="1"/>
  <c r="AD77" i="1"/>
  <c r="AC4" i="1"/>
  <c r="AC109" i="1"/>
  <c r="AD109" i="1"/>
  <c r="AC29" i="1"/>
  <c r="AD29" i="1"/>
  <c r="AD107" i="1"/>
  <c r="AC107" i="1"/>
  <c r="AC93" i="1"/>
  <c r="AD93" i="1"/>
  <c r="AD123" i="1"/>
  <c r="AC123" i="1"/>
  <c r="AD59" i="1"/>
  <c r="AC59" i="1"/>
  <c r="AC141" i="1"/>
  <c r="AD141" i="1"/>
  <c r="AC45" i="1"/>
  <c r="AD45" i="1"/>
  <c r="AD91" i="1"/>
  <c r="AC91" i="1"/>
  <c r="AD43" i="1"/>
  <c r="AC43" i="1"/>
  <c r="AC137" i="1"/>
  <c r="AD137" i="1"/>
  <c r="AC105" i="1"/>
  <c r="AD105" i="1"/>
  <c r="AC73" i="1"/>
  <c r="AD73" i="1"/>
  <c r="AC41" i="1"/>
  <c r="AD41" i="1"/>
  <c r="AD7" i="1"/>
  <c r="AD146" i="1"/>
  <c r="AD114" i="1"/>
  <c r="AD82" i="1"/>
  <c r="AD50" i="1"/>
  <c r="AD150" i="1"/>
  <c r="AD118" i="1"/>
  <c r="AD86" i="1"/>
  <c r="AC5" i="1"/>
  <c r="AD138" i="1"/>
  <c r="AD106" i="1"/>
  <c r="AD74" i="1"/>
  <c r="AD42" i="1"/>
  <c r="AC135" i="1"/>
  <c r="AD135" i="1"/>
  <c r="AC119" i="1"/>
  <c r="AD119" i="1"/>
  <c r="AC103" i="1"/>
  <c r="AD103" i="1"/>
  <c r="AD87" i="1"/>
  <c r="AC87" i="1"/>
  <c r="AC71" i="1"/>
  <c r="AD71" i="1"/>
  <c r="AC55" i="1"/>
  <c r="AD55" i="1"/>
  <c r="AC39" i="1"/>
  <c r="AD39" i="1"/>
  <c r="AD23" i="1"/>
  <c r="AC23" i="1"/>
  <c r="AD21" i="1"/>
  <c r="AD38" i="1"/>
  <c r="AC20" i="1"/>
  <c r="AC61" i="1"/>
  <c r="AD61" i="1"/>
  <c r="AD139" i="1"/>
  <c r="AC139" i="1"/>
  <c r="AD75" i="1"/>
  <c r="AC75" i="1"/>
  <c r="AD27" i="1"/>
  <c r="AC27" i="1"/>
  <c r="AC121" i="1"/>
  <c r="AD121" i="1"/>
  <c r="AC89" i="1"/>
  <c r="AD89" i="1"/>
  <c r="AC57" i="1"/>
  <c r="AD57" i="1"/>
  <c r="AC25" i="1"/>
  <c r="AD25" i="1"/>
  <c r="AC149" i="1"/>
  <c r="AD149" i="1"/>
  <c r="AC133" i="1"/>
  <c r="AD133" i="1"/>
  <c r="AC117" i="1"/>
  <c r="AD117" i="1"/>
  <c r="AC101" i="1"/>
  <c r="AD101" i="1"/>
  <c r="AC85" i="1"/>
  <c r="AD85" i="1"/>
  <c r="AC69" i="1"/>
  <c r="AD69" i="1"/>
  <c r="AC53" i="1"/>
  <c r="AD53" i="1"/>
  <c r="AC37" i="1"/>
  <c r="AD37" i="1"/>
  <c r="AC19" i="1"/>
  <c r="AC13" i="1"/>
  <c r="AD15" i="1"/>
  <c r="AD147" i="1"/>
  <c r="AC147" i="1"/>
  <c r="AD131" i="1"/>
  <c r="AC131" i="1"/>
  <c r="AD115" i="1"/>
  <c r="AC115" i="1"/>
  <c r="AD99" i="1"/>
  <c r="AC99" i="1"/>
  <c r="AD83" i="1"/>
  <c r="AC83" i="1"/>
  <c r="AD67" i="1"/>
  <c r="AC67" i="1"/>
  <c r="AD51" i="1"/>
  <c r="AC51" i="1"/>
  <c r="AD35" i="1"/>
  <c r="AC35" i="1"/>
  <c r="P6" i="1"/>
</calcChain>
</file>

<file path=xl/sharedStrings.xml><?xml version="1.0" encoding="utf-8"?>
<sst xmlns="http://schemas.openxmlformats.org/spreadsheetml/2006/main" count="39" uniqueCount="31">
  <si>
    <t>X'</t>
  </si>
  <si>
    <t>X</t>
  </si>
  <si>
    <t>Eigv1</t>
  </si>
  <si>
    <t>Eigv2</t>
  </si>
  <si>
    <t>Y'1</t>
  </si>
  <si>
    <t>Y'2</t>
  </si>
  <si>
    <t>Y1</t>
  </si>
  <si>
    <t>Y2</t>
  </si>
  <si>
    <t>MyProjectAssgnment</t>
  </si>
  <si>
    <t>eigvector1</t>
  </si>
  <si>
    <t>xPrime</t>
  </si>
  <si>
    <t>eigvector2</t>
  </si>
  <si>
    <t>y1</t>
  </si>
  <si>
    <t>y2</t>
  </si>
  <si>
    <t>dataMat</t>
  </si>
  <si>
    <t>xPrimeMat</t>
  </si>
  <si>
    <t>means</t>
  </si>
  <si>
    <t>Column 1</t>
  </si>
  <si>
    <t>Column 2</t>
  </si>
  <si>
    <t>Column 3</t>
  </si>
  <si>
    <t>Column 4</t>
  </si>
  <si>
    <t>Wolfram Alpha Eig</t>
  </si>
  <si>
    <t>eigenvectors {{ 0.6856,-0.039,1.27368233,0.516},{-0.039,0.188,-0.321,-0.117},{1.273,-0.321,3.113,1.296},{0.516,-0.117,1.296,0.582}}</t>
  </si>
  <si>
    <t>Input</t>
  </si>
  <si>
    <t>MostCovarianceEigenvalues</t>
  </si>
  <si>
    <t>Most CovarianceEigenvectors</t>
  </si>
  <si>
    <t>a1</t>
  </si>
  <si>
    <t>a2</t>
  </si>
  <si>
    <t>lowDDataMat</t>
  </si>
  <si>
    <t>labelMat</t>
  </si>
  <si>
    <r>
      <rPr>
        <sz val="12"/>
        <color rgb="FF000000"/>
        <rFont val="Calibri"/>
        <family val="2"/>
      </rPr>
      <t xml:space="preserve">Covariance Matrix </t>
    </r>
    <r>
      <rPr>
        <b/>
        <sz val="12"/>
        <color rgb="FF000000"/>
        <rFont val="Calibri"/>
        <family val="2"/>
      </rPr>
      <t>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</si>
</sst>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0000"/>
      <name val="Calibri"/>
      <family val="2"/>
    </font>
    <font>
      <i/>
      <sz val="12"/>
      <color indexed="8"/>
      <name val="Calibri"/>
      <family val="2"/>
    </font>
    <font>
      <b/>
      <sz val="12"/>
      <color indexed="8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18" fillId="0" borderId="0" xfId="0" applyFont="1"/>
    <xf numFmtId="0" fontId="0" fillId="0" borderId="0" xfId="0" applyFill="1" applyBorder="1" applyAlignment="1"/>
    <xf numFmtId="0" fontId="0" fillId="0" borderId="10" xfId="0" applyFill="1" applyBorder="1" applyAlignment="1"/>
    <xf numFmtId="0" fontId="19" fillId="0" borderId="11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20" fillId="0" borderId="0" xfId="0" applyFont="1"/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iris_with_cluster!$AC$2:$AC$151</c:f>
              <c:numCache>
                <c:formatCode>General</c:formatCode>
                <c:ptCount val="150"/>
                <c:pt idx="0">
                  <c:v>-2.2798974547533342</c:v>
                </c:pt>
                <c:pt idx="1">
                  <c:v>1.9048630372466659</c:v>
                </c:pt>
                <c:pt idx="2">
                  <c:v>-3.2158579387533339</c:v>
                </c:pt>
                <c:pt idx="3">
                  <c:v>-2.5971595547533335</c:v>
                </c:pt>
                <c:pt idx="4">
                  <c:v>-2.6842072757533337</c:v>
                </c:pt>
                <c:pt idx="5">
                  <c:v>-3.2252007447533337</c:v>
                </c:pt>
                <c:pt idx="6">
                  <c:v>3.7946872192466663</c:v>
                </c:pt>
                <c:pt idx="7">
                  <c:v>1.8023405642466659</c:v>
                </c:pt>
                <c:pt idx="8">
                  <c:v>0.81245558224666603</c:v>
                </c:pt>
                <c:pt idx="9">
                  <c:v>0.92757310224666634</c:v>
                </c:pt>
                <c:pt idx="10">
                  <c:v>1.9224510882466657</c:v>
                </c:pt>
                <c:pt idx="11">
                  <c:v>-2.6738448737533336</c:v>
                </c:pt>
                <c:pt idx="12">
                  <c:v>1.5852673022466657</c:v>
                </c:pt>
                <c:pt idx="13">
                  <c:v>-2.6252285427533337</c:v>
                </c:pt>
                <c:pt idx="14">
                  <c:v>-2.7874341817533335</c:v>
                </c:pt>
                <c:pt idx="15">
                  <c:v>-2.587346338753334</c:v>
                </c:pt>
                <c:pt idx="16">
                  <c:v>2.2758538182466661</c:v>
                </c:pt>
                <c:pt idx="17">
                  <c:v>0.93241085924666611</c:v>
                </c:pt>
                <c:pt idx="18">
                  <c:v>-2.3838693637533339</c:v>
                </c:pt>
                <c:pt idx="19">
                  <c:v>2.165379049246666</c:v>
                </c:pt>
                <c:pt idx="20">
                  <c:v>-2.8208909237533337</c:v>
                </c:pt>
                <c:pt idx="21">
                  <c:v>1.3310415992466655</c:v>
                </c:pt>
                <c:pt idx="22">
                  <c:v>2.5317270792466662</c:v>
                </c:pt>
                <c:pt idx="23">
                  <c:v>-0.174864046753334</c:v>
                </c:pt>
                <c:pt idx="24">
                  <c:v>1.3445942002466662</c:v>
                </c:pt>
                <c:pt idx="25">
                  <c:v>-2.5432350567533342</c:v>
                </c:pt>
                <c:pt idx="26">
                  <c:v>-2.6483228827533338</c:v>
                </c:pt>
                <c:pt idx="27">
                  <c:v>1.5256637232466659</c:v>
                </c:pt>
                <c:pt idx="28">
                  <c:v>-2.4100774317533338</c:v>
                </c:pt>
                <c:pt idx="29">
                  <c:v>0.13499494324666583</c:v>
                </c:pt>
                <c:pt idx="30">
                  <c:v>1.1688535052466658</c:v>
                </c:pt>
                <c:pt idx="31">
                  <c:v>0.46303092924666633</c:v>
                </c:pt>
                <c:pt idx="32">
                  <c:v>2.6141940912466661</c:v>
                </c:pt>
                <c:pt idx="33">
                  <c:v>-1.0190186753334066E-2</c:v>
                </c:pt>
                <c:pt idx="34">
                  <c:v>2.8409612232466657</c:v>
                </c:pt>
                <c:pt idx="35">
                  <c:v>-7.0342951753334104E-2</c:v>
                </c:pt>
                <c:pt idx="36">
                  <c:v>-0.75146731575333403</c:v>
                </c:pt>
                <c:pt idx="37">
                  <c:v>0.65959274924666589</c:v>
                </c:pt>
                <c:pt idx="38">
                  <c:v>2.4281674652466663</c:v>
                </c:pt>
                <c:pt idx="39">
                  <c:v>-2.9818429437533336</c:v>
                </c:pt>
                <c:pt idx="40">
                  <c:v>1.3896661522466658</c:v>
                </c:pt>
                <c:pt idx="41">
                  <c:v>0.3311269232466662</c:v>
                </c:pt>
                <c:pt idx="42">
                  <c:v>-2.9982967217533334</c:v>
                </c:pt>
                <c:pt idx="43">
                  <c:v>-2.542685870753334</c:v>
                </c:pt>
                <c:pt idx="44">
                  <c:v>-0.70708144075333412</c:v>
                </c:pt>
                <c:pt idx="45">
                  <c:v>-2.7464374387533339</c:v>
                </c:pt>
                <c:pt idx="46">
                  <c:v>0.58727477724666621</c:v>
                </c:pt>
                <c:pt idx="47">
                  <c:v>-2.5079173947533335</c:v>
                </c:pt>
                <c:pt idx="48">
                  <c:v>3.4992658402466663</c:v>
                </c:pt>
                <c:pt idx="49">
                  <c:v>-2.5065268847533337</c:v>
                </c:pt>
                <c:pt idx="50">
                  <c:v>0.51938307824666619</c:v>
                </c:pt>
                <c:pt idx="51">
                  <c:v>-2.6738448737533336</c:v>
                </c:pt>
                <c:pt idx="52">
                  <c:v>0.16451336724666604</c:v>
                </c:pt>
                <c:pt idx="53">
                  <c:v>0.35678661624666591</c:v>
                </c:pt>
                <c:pt idx="54">
                  <c:v>1.0871346122466656</c:v>
                </c:pt>
                <c:pt idx="55">
                  <c:v>0.29780788324666579</c:v>
                </c:pt>
                <c:pt idx="56">
                  <c:v>-2.6398214007533336</c:v>
                </c:pt>
                <c:pt idx="57">
                  <c:v>2.4193913902466662</c:v>
                </c:pt>
                <c:pt idx="58">
                  <c:v>3.2323432892466659</c:v>
                </c:pt>
                <c:pt idx="59">
                  <c:v>1.7640460652466661</c:v>
                </c:pt>
                <c:pt idx="60">
                  <c:v>-2.7701390797533336</c:v>
                </c:pt>
                <c:pt idx="61">
                  <c:v>2.3875646612466661</c:v>
                </c:pt>
                <c:pt idx="62">
                  <c:v>-2.4055142677533334</c:v>
                </c:pt>
                <c:pt idx="63">
                  <c:v>1.9016291522466664</c:v>
                </c:pt>
                <c:pt idx="64">
                  <c:v>-2.7153908027533338</c:v>
                </c:pt>
                <c:pt idx="65">
                  <c:v>1.095223799246666</c:v>
                </c:pt>
                <c:pt idx="66">
                  <c:v>2.3143035642466656</c:v>
                </c:pt>
                <c:pt idx="67">
                  <c:v>0.89016049724666557</c:v>
                </c:pt>
                <c:pt idx="68">
                  <c:v>2.1076539352466663</c:v>
                </c:pt>
                <c:pt idx="69">
                  <c:v>1.4140722262466654</c:v>
                </c:pt>
                <c:pt idx="70">
                  <c:v>-2.8522113417533337</c:v>
                </c:pt>
                <c:pt idx="71">
                  <c:v>0.98404459724666604</c:v>
                </c:pt>
                <c:pt idx="72">
                  <c:v>1.2964689402466663</c:v>
                </c:pt>
                <c:pt idx="73">
                  <c:v>1.4431026952466657</c:v>
                </c:pt>
                <c:pt idx="74">
                  <c:v>-0.51108635175333395</c:v>
                </c:pt>
                <c:pt idx="75">
                  <c:v>1.4140722262466654</c:v>
                </c:pt>
                <c:pt idx="76">
                  <c:v>0.92050270024666603</c:v>
                </c:pt>
                <c:pt idx="77">
                  <c:v>0.64043672724666612</c:v>
                </c:pt>
                <c:pt idx="78">
                  <c:v>-2.7285931507533339</c:v>
                </c:pt>
                <c:pt idx="79">
                  <c:v>2.3497581172466662</c:v>
                </c:pt>
                <c:pt idx="80">
                  <c:v>-0.3073347837533339</c:v>
                </c:pt>
                <c:pt idx="81">
                  <c:v>0.26233578524666601</c:v>
                </c:pt>
                <c:pt idx="82">
                  <c:v>-2.3031286857533346</c:v>
                </c:pt>
                <c:pt idx="83">
                  <c:v>-2.6131429227533336</c:v>
                </c:pt>
                <c:pt idx="84">
                  <c:v>2.1587384872466657</c:v>
                </c:pt>
                <c:pt idx="85">
                  <c:v>-2.6225262987533338</c:v>
                </c:pt>
                <c:pt idx="86">
                  <c:v>0.80720553024666608</c:v>
                </c:pt>
                <c:pt idx="87">
                  <c:v>1.5573964362466661</c:v>
                </c:pt>
                <c:pt idx="88">
                  <c:v>0.64169034624666588</c:v>
                </c:pt>
                <c:pt idx="89">
                  <c:v>-2.5623910787533339</c:v>
                </c:pt>
                <c:pt idx="90">
                  <c:v>1.1162407412466659</c:v>
                </c:pt>
                <c:pt idx="91">
                  <c:v>-2.310531795753334</c:v>
                </c:pt>
                <c:pt idx="92">
                  <c:v>3.4887657362466662</c:v>
                </c:pt>
                <c:pt idx="93">
                  <c:v>0.8128678772466662</c:v>
                </c:pt>
                <c:pt idx="94">
                  <c:v>-2.5903231757533343</c:v>
                </c:pt>
                <c:pt idx="95">
                  <c:v>0.51109807424666631</c:v>
                </c:pt>
                <c:pt idx="96">
                  <c:v>2.3196729622466661</c:v>
                </c:pt>
                <c:pt idx="97">
                  <c:v>1.9708150402466655</c:v>
                </c:pt>
                <c:pt idx="98">
                  <c:v>1.6619350762466656</c:v>
                </c:pt>
                <c:pt idx="99">
                  <c:v>0.71400831824666589</c:v>
                </c:pt>
                <c:pt idx="100">
                  <c:v>-2.208833101753334</c:v>
                </c:pt>
                <c:pt idx="101">
                  <c:v>4.3246356246665847E-2</c:v>
                </c:pt>
                <c:pt idx="102">
                  <c:v>1.2847948042466659</c:v>
                </c:pt>
                <c:pt idx="103">
                  <c:v>1.944017216246666</c:v>
                </c:pt>
                <c:pt idx="104">
                  <c:v>-2.5884622557533339</c:v>
                </c:pt>
                <c:pt idx="105">
                  <c:v>0.18096714524666602</c:v>
                </c:pt>
                <c:pt idx="106">
                  <c:v>3.0765219752466657</c:v>
                </c:pt>
                <c:pt idx="107">
                  <c:v>-2.7156653957533337</c:v>
                </c:pt>
                <c:pt idx="108">
                  <c:v>0.23454057924666563</c:v>
                </c:pt>
                <c:pt idx="109">
                  <c:v>1.1980973362466663</c:v>
                </c:pt>
                <c:pt idx="110">
                  <c:v>1.290669702246666</c:v>
                </c:pt>
                <c:pt idx="111">
                  <c:v>-2.8879588437533337</c:v>
                </c:pt>
                <c:pt idx="112">
                  <c:v>-2.6738448737533336</c:v>
                </c:pt>
                <c:pt idx="113">
                  <c:v>0.94236177724666614</c:v>
                </c:pt>
                <c:pt idx="114">
                  <c:v>2.1449869532466654</c:v>
                </c:pt>
                <c:pt idx="115">
                  <c:v>-2.5375735207533339</c:v>
                </c:pt>
                <c:pt idx="116">
                  <c:v>1.3787370192466657</c:v>
                </c:pt>
                <c:pt idx="117">
                  <c:v>-2.1990780007533344</c:v>
                </c:pt>
                <c:pt idx="118">
                  <c:v>-2.8403215387533338</c:v>
                </c:pt>
                <c:pt idx="119">
                  <c:v>2.9181344972466658</c:v>
                </c:pt>
                <c:pt idx="120">
                  <c:v>0.35553299724666604</c:v>
                </c:pt>
                <c:pt idx="121">
                  <c:v>-2.8898197637533336</c:v>
                </c:pt>
                <c:pt idx="122">
                  <c:v>1.298329860246666</c:v>
                </c:pt>
                <c:pt idx="123">
                  <c:v>1.9492489122466659</c:v>
                </c:pt>
                <c:pt idx="124">
                  <c:v>2.5633229012466661</c:v>
                </c:pt>
                <c:pt idx="125">
                  <c:v>1.4640615222466664</c:v>
                </c:pt>
                <c:pt idx="126">
                  <c:v>-2.8670000167533343</c:v>
                </c:pt>
                <c:pt idx="127">
                  <c:v>2.1228540942466658</c:v>
                </c:pt>
                <c:pt idx="128">
                  <c:v>-2.4690561647533338</c:v>
                </c:pt>
                <c:pt idx="129">
                  <c:v>-2.6328481307533336</c:v>
                </c:pt>
                <c:pt idx="130">
                  <c:v>0.24519511924666559</c:v>
                </c:pt>
                <c:pt idx="131">
                  <c:v>1.2576252552466658</c:v>
                </c:pt>
                <c:pt idx="132">
                  <c:v>0.22887904324666591</c:v>
                </c:pt>
                <c:pt idx="133">
                  <c:v>-2.356171289753334</c:v>
                </c:pt>
                <c:pt idx="134">
                  <c:v>0.37523820524666629</c:v>
                </c:pt>
                <c:pt idx="135">
                  <c:v>0.89964100524666624</c:v>
                </c:pt>
                <c:pt idx="136">
                  <c:v>1.0432979232466655</c:v>
                </c:pt>
                <c:pt idx="137">
                  <c:v>1.2204291282466662</c:v>
                </c:pt>
                <c:pt idx="138">
                  <c:v>-2.6435432407533344</c:v>
                </c:pt>
                <c:pt idx="139">
                  <c:v>-0.19188455575333382</c:v>
                </c:pt>
                <c:pt idx="140">
                  <c:v>2.6164848512466663</c:v>
                </c:pt>
                <c:pt idx="141">
                  <c:v>-2.6476368057533337</c:v>
                </c:pt>
                <c:pt idx="142">
                  <c:v>3.3968802582466657</c:v>
                </c:pt>
                <c:pt idx="143">
                  <c:v>1.7796401632466654</c:v>
                </c:pt>
                <c:pt idx="144">
                  <c:v>-2.7039124837533337</c:v>
                </c:pt>
                <c:pt idx="145">
                  <c:v>-0.90846347275333406</c:v>
                </c:pt>
                <c:pt idx="146">
                  <c:v>-2.626482161753334</c:v>
                </c:pt>
                <c:pt idx="147">
                  <c:v>1.3876683412466662</c:v>
                </c:pt>
                <c:pt idx="148">
                  <c:v>2.9320053772466657</c:v>
                </c:pt>
                <c:pt idx="149">
                  <c:v>1.904743691246666</c:v>
                </c:pt>
              </c:numCache>
            </c:numRef>
          </c:xVal>
          <c:yVal>
            <c:numRef>
              <c:f>iris_with_cluster!$AD$2:$AD$151</c:f>
              <c:numCache>
                <c:formatCode>General</c:formatCode>
                <c:ptCount val="150"/>
                <c:pt idx="0">
                  <c:v>-0.74778270639333422</c:v>
                </c:pt>
                <c:pt idx="1">
                  <c:v>-4.8047512393334241E-2</c:v>
                </c:pt>
                <c:pt idx="2">
                  <c:v>-0.14161556539333378</c:v>
                </c:pt>
                <c:pt idx="3">
                  <c:v>-1.1000219193933338</c:v>
                </c:pt>
                <c:pt idx="4">
                  <c:v>-0.32660730839333374</c:v>
                </c:pt>
                <c:pt idx="5">
                  <c:v>0.50327991360666602</c:v>
                </c:pt>
                <c:pt idx="6">
                  <c:v>-0.25326557639333402</c:v>
                </c:pt>
                <c:pt idx="7">
                  <c:v>0.21615460260666566</c:v>
                </c:pt>
                <c:pt idx="8">
                  <c:v>0.16233157260666609</c:v>
                </c:pt>
                <c:pt idx="9">
                  <c:v>-0.46823620439333408</c:v>
                </c:pt>
                <c:pt idx="10">
                  <c:v>-0.4092711773933343</c:v>
                </c:pt>
                <c:pt idx="11">
                  <c:v>0.10669170860666576</c:v>
                </c:pt>
                <c:pt idx="12">
                  <c:v>0.53930704860666623</c:v>
                </c:pt>
                <c:pt idx="13">
                  <c:v>-0.60680000039333393</c:v>
                </c:pt>
                <c:pt idx="14">
                  <c:v>0.22774019360666614</c:v>
                </c:pt>
                <c:pt idx="15">
                  <c:v>-0.52047363239333366</c:v>
                </c:pt>
                <c:pt idx="16">
                  <c:v>-0.3333865293933338</c:v>
                </c:pt>
                <c:pt idx="17">
                  <c:v>-0.3191980903933343</c:v>
                </c:pt>
                <c:pt idx="18">
                  <c:v>-1.3447543353933342</c:v>
                </c:pt>
                <c:pt idx="19">
                  <c:v>-0.2152802863933338</c:v>
                </c:pt>
                <c:pt idx="20">
                  <c:v>8.2104515606666359E-2</c:v>
                </c:pt>
                <c:pt idx="21">
                  <c:v>-0.2446695213933337</c:v>
                </c:pt>
                <c:pt idx="22">
                  <c:v>1.1842230606666268E-2</c:v>
                </c:pt>
                <c:pt idx="23">
                  <c:v>0.25181557060666637</c:v>
                </c:pt>
                <c:pt idx="24">
                  <c:v>0.77641541960666594</c:v>
                </c:pt>
                <c:pt idx="25">
                  <c:v>-0.44003174839333387</c:v>
                </c:pt>
                <c:pt idx="26">
                  <c:v>-0.31913666139333374</c:v>
                </c:pt>
                <c:pt idx="27">
                  <c:v>0.37502084460666613</c:v>
                </c:pt>
                <c:pt idx="28">
                  <c:v>-0.41808000139333412</c:v>
                </c:pt>
                <c:pt idx="29">
                  <c:v>0.31170964160666598</c:v>
                </c:pt>
                <c:pt idx="30">
                  <c:v>0.16450249660666602</c:v>
                </c:pt>
                <c:pt idx="31">
                  <c:v>0.66952654260666611</c:v>
                </c:pt>
                <c:pt idx="32">
                  <c:v>-0.55836695339333398</c:v>
                </c:pt>
                <c:pt idx="33">
                  <c:v>0.72057486360666578</c:v>
                </c:pt>
                <c:pt idx="34">
                  <c:v>-0.37274259439333407</c:v>
                </c:pt>
                <c:pt idx="35">
                  <c:v>0.70253792960666606</c:v>
                </c:pt>
                <c:pt idx="36">
                  <c:v>1.0011075106066658</c:v>
                </c:pt>
                <c:pt idx="37">
                  <c:v>0.35197628760666627</c:v>
                </c:pt>
                <c:pt idx="38">
                  <c:v>-0.37678197439333427</c:v>
                </c:pt>
                <c:pt idx="39">
                  <c:v>0.48025005260666587</c:v>
                </c:pt>
                <c:pt idx="40">
                  <c:v>0.28288670460666576</c:v>
                </c:pt>
                <c:pt idx="41">
                  <c:v>0.21118013860666596</c:v>
                </c:pt>
                <c:pt idx="42">
                  <c:v>0.33430757860666571</c:v>
                </c:pt>
                <c:pt idx="43">
                  <c:v>-0.58628101839333402</c:v>
                </c:pt>
                <c:pt idx="44">
                  <c:v>1.0084247596066662</c:v>
                </c:pt>
                <c:pt idx="45">
                  <c:v>0.3111243196066662</c:v>
                </c:pt>
                <c:pt idx="46">
                  <c:v>0.48328426360666582</c:v>
                </c:pt>
                <c:pt idx="47">
                  <c:v>0.13905634460666608</c:v>
                </c:pt>
                <c:pt idx="48">
                  <c:v>-0.45677347139333391</c:v>
                </c:pt>
                <c:pt idx="49">
                  <c:v>-0.65193500639333435</c:v>
                </c:pt>
                <c:pt idx="50">
                  <c:v>1.1913516826066657</c:v>
                </c:pt>
                <c:pt idx="51">
                  <c:v>0.10669170860666576</c:v>
                </c:pt>
                <c:pt idx="52">
                  <c:v>0.67966146660666615</c:v>
                </c:pt>
                <c:pt idx="53">
                  <c:v>6.6823827606666414E-2</c:v>
                </c:pt>
                <c:pt idx="54">
                  <c:v>-7.5390390393333881E-2</c:v>
                </c:pt>
                <c:pt idx="55">
                  <c:v>0.34701651960666596</c:v>
                </c:pt>
                <c:pt idx="56">
                  <c:v>-0.3192900593933341</c:v>
                </c:pt>
                <c:pt idx="57">
                  <c:v>-0.30350394139333381</c:v>
                </c:pt>
                <c:pt idx="58">
                  <c:v>-1.3705240373933338</c:v>
                </c:pt>
                <c:pt idx="59">
                  <c:v>-7.8519189393333882E-2</c:v>
                </c:pt>
                <c:pt idx="60">
                  <c:v>-0.27105941339333384</c:v>
                </c:pt>
                <c:pt idx="61">
                  <c:v>-0.46251925339333405</c:v>
                </c:pt>
                <c:pt idx="62">
                  <c:v>-0.19591725239333385</c:v>
                </c:pt>
                <c:pt idx="63">
                  <c:v>-0.11587675239333398</c:v>
                </c:pt>
                <c:pt idx="64">
                  <c:v>0.16955685260666578</c:v>
                </c:pt>
                <c:pt idx="65">
                  <c:v>-0.2838912123933337</c:v>
                </c:pt>
                <c:pt idx="66">
                  <c:v>-0.18260885439333421</c:v>
                </c:pt>
                <c:pt idx="67">
                  <c:v>3.3812440606666223E-2</c:v>
                </c:pt>
                <c:pt idx="68">
                  <c:v>-0.37148225139333413</c:v>
                </c:pt>
                <c:pt idx="69">
                  <c:v>0.57492505060666599</c:v>
                </c:pt>
                <c:pt idx="70">
                  <c:v>0.9328653706066663</c:v>
                </c:pt>
                <c:pt idx="71">
                  <c:v>0.12436041760666637</c:v>
                </c:pt>
                <c:pt idx="72">
                  <c:v>0.32756151660666621</c:v>
                </c:pt>
                <c:pt idx="73">
                  <c:v>0.14380128560666622</c:v>
                </c:pt>
                <c:pt idx="74">
                  <c:v>1.2624919506066661</c:v>
                </c:pt>
                <c:pt idx="75">
                  <c:v>0.57492505060666599</c:v>
                </c:pt>
                <c:pt idx="76">
                  <c:v>0.18239036060666644</c:v>
                </c:pt>
                <c:pt idx="77">
                  <c:v>0.41732347960666599</c:v>
                </c:pt>
                <c:pt idx="78">
                  <c:v>-0.33392455739333404</c:v>
                </c:pt>
                <c:pt idx="79">
                  <c:v>4.1882544606666058E-2</c:v>
                </c:pt>
                <c:pt idx="80">
                  <c:v>0.36508661260666586</c:v>
                </c:pt>
                <c:pt idx="81">
                  <c:v>0.54789329660666608</c:v>
                </c:pt>
                <c:pt idx="82">
                  <c:v>-0.10552267339333367</c:v>
                </c:pt>
                <c:pt idx="83">
                  <c:v>-2.1520627393333741E-2</c:v>
                </c:pt>
                <c:pt idx="84">
                  <c:v>0.21832552660666588</c:v>
                </c:pt>
                <c:pt idx="85">
                  <c:v>-0.81808966639333414</c:v>
                </c:pt>
                <c:pt idx="86">
                  <c:v>-0.19505396539333392</c:v>
                </c:pt>
                <c:pt idx="87">
                  <c:v>-0.26739258639333402</c:v>
                </c:pt>
                <c:pt idx="88">
                  <c:v>-1.9071177393334041E-2</c:v>
                </c:pt>
                <c:pt idx="89">
                  <c:v>-0.37468455639333409</c:v>
                </c:pt>
                <c:pt idx="90">
                  <c:v>8.421401060666564E-2</c:v>
                </c:pt>
                <c:pt idx="91">
                  <c:v>-0.39786781539333416</c:v>
                </c:pt>
                <c:pt idx="92">
                  <c:v>-1.1715445473933337</c:v>
                </c:pt>
                <c:pt idx="93">
                  <c:v>0.37067899660666637</c:v>
                </c:pt>
                <c:pt idx="94">
                  <c:v>-0.23605933139333371</c:v>
                </c:pt>
                <c:pt idx="95">
                  <c:v>0.10228410360666584</c:v>
                </c:pt>
                <c:pt idx="96">
                  <c:v>0.24554816560666601</c:v>
                </c:pt>
                <c:pt idx="97">
                  <c:v>0.18112568960666611</c:v>
                </c:pt>
                <c:pt idx="98">
                  <c:v>-0.24203840339333418</c:v>
                </c:pt>
                <c:pt idx="99">
                  <c:v>-0.15037915339333419</c:v>
                </c:pt>
                <c:pt idx="100">
                  <c:v>-0.44269602539333364</c:v>
                </c:pt>
                <c:pt idx="101">
                  <c:v>0.58148944460666641</c:v>
                </c:pt>
                <c:pt idx="102">
                  <c:v>-0.68543918539333393</c:v>
                </c:pt>
                <c:pt idx="103">
                  <c:v>-0.187415224393334</c:v>
                </c:pt>
                <c:pt idx="104">
                  <c:v>0.1973930836066661</c:v>
                </c:pt>
                <c:pt idx="105">
                  <c:v>0.82560394060666631</c:v>
                </c:pt>
                <c:pt idx="106">
                  <c:v>-0.68576444439333417</c:v>
                </c:pt>
                <c:pt idx="107">
                  <c:v>0.24268148760666614</c:v>
                </c:pt>
                <c:pt idx="108">
                  <c:v>0.33192182760666594</c:v>
                </c:pt>
                <c:pt idx="109">
                  <c:v>0.6055789566066665</c:v>
                </c:pt>
                <c:pt idx="110">
                  <c:v>0.11642524860666634</c:v>
                </c:pt>
                <c:pt idx="111">
                  <c:v>0.57079802960666592</c:v>
                </c:pt>
                <c:pt idx="112">
                  <c:v>0.10669170860666576</c:v>
                </c:pt>
                <c:pt idx="113">
                  <c:v>0.54182225560666586</c:v>
                </c:pt>
                <c:pt idx="114">
                  <c:v>-0.13890661339333391</c:v>
                </c:pt>
                <c:pt idx="115">
                  <c:v>-0.51036753939333357</c:v>
                </c:pt>
                <c:pt idx="116">
                  <c:v>0.42120513360666584</c:v>
                </c:pt>
                <c:pt idx="117">
                  <c:v>-0.87924408039333402</c:v>
                </c:pt>
                <c:pt idx="118">
                  <c:v>0.22057634260666606</c:v>
                </c:pt>
                <c:pt idx="119">
                  <c:v>-0.78038063239333422</c:v>
                </c:pt>
                <c:pt idx="120">
                  <c:v>0.50321848460666618</c:v>
                </c:pt>
                <c:pt idx="121">
                  <c:v>0.13734561460666592</c:v>
                </c:pt>
                <c:pt idx="122">
                  <c:v>0.76101393160666608</c:v>
                </c:pt>
                <c:pt idx="123">
                  <c:v>-4.0730263393333938E-2</c:v>
                </c:pt>
                <c:pt idx="124">
                  <c:v>-0.27597450639333376</c:v>
                </c:pt>
                <c:pt idx="125">
                  <c:v>-0.50418983339333412</c:v>
                </c:pt>
                <c:pt idx="126">
                  <c:v>-7.7193089393334108E-2</c:v>
                </c:pt>
                <c:pt idx="127">
                  <c:v>0.21085487960666588</c:v>
                </c:pt>
                <c:pt idx="128">
                  <c:v>-0.13788730939333382</c:v>
                </c:pt>
                <c:pt idx="129">
                  <c:v>0.19007583460666591</c:v>
                </c:pt>
                <c:pt idx="130">
                  <c:v>0.26672803360666619</c:v>
                </c:pt>
                <c:pt idx="131">
                  <c:v>0.17913699460666602</c:v>
                </c:pt>
                <c:pt idx="132">
                  <c:v>0.40225761860666609</c:v>
                </c:pt>
                <c:pt idx="133">
                  <c:v>3.1209592606666198E-2</c:v>
                </c:pt>
                <c:pt idx="134">
                  <c:v>0.29162202260666598</c:v>
                </c:pt>
                <c:pt idx="135">
                  <c:v>-0.32961097939333367</c:v>
                </c:pt>
                <c:pt idx="136">
                  <c:v>-0.22895690939333374</c:v>
                </c:pt>
                <c:pt idx="137">
                  <c:v>-0.40803533739333409</c:v>
                </c:pt>
                <c:pt idx="138">
                  <c:v>-1.1861948893933338</c:v>
                </c:pt>
                <c:pt idx="139">
                  <c:v>0.67749054260666619</c:v>
                </c:pt>
                <c:pt idx="140">
                  <c:v>-0.34193529039333359</c:v>
                </c:pt>
                <c:pt idx="141">
                  <c:v>-0.81998262539333389</c:v>
                </c:pt>
                <c:pt idx="142">
                  <c:v>-0.54716805039333372</c:v>
                </c:pt>
                <c:pt idx="143">
                  <c:v>0.50146478860666621</c:v>
                </c:pt>
                <c:pt idx="144">
                  <c:v>-0.11501084639333384</c:v>
                </c:pt>
                <c:pt idx="145">
                  <c:v>0.75156872460666635</c:v>
                </c:pt>
                <c:pt idx="146">
                  <c:v>-0.17040534339333388</c:v>
                </c:pt>
                <c:pt idx="147">
                  <c:v>0.20403098360666608</c:v>
                </c:pt>
                <c:pt idx="148">
                  <c:v>-0.3523770103933338</c:v>
                </c:pt>
                <c:pt idx="149">
                  <c:v>-0.11881899439333435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17-4D66-BD2C-C90041C71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065775"/>
        <c:axId val="1329063695"/>
      </c:scatterChart>
      <c:valAx>
        <c:axId val="1329065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063695"/>
        <c:crosses val="autoZero"/>
        <c:crossBetween val="midCat"/>
      </c:valAx>
      <c:valAx>
        <c:axId val="13290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065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355342</xdr:colOff>
      <xdr:row>16</xdr:row>
      <xdr:rowOff>14112</xdr:rowOff>
    </xdr:from>
    <xdr:to>
      <xdr:col>21</xdr:col>
      <xdr:colOff>225777</xdr:colOff>
      <xdr:row>42</xdr:row>
      <xdr:rowOff>27586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BD09E2-80BF-42B3-B3BF-AEF2B24DC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80898" y="3175001"/>
          <a:ext cx="9028546" cy="5149918"/>
        </a:xfrm>
        <a:prstGeom prst="rect">
          <a:avLst/>
        </a:prstGeom>
      </xdr:spPr>
    </xdr:pic>
    <xdr:clientData/>
  </xdr:twoCellAnchor>
  <xdr:twoCellAnchor>
    <xdr:from>
      <xdr:col>22</xdr:col>
      <xdr:colOff>302107</xdr:colOff>
      <xdr:row>24</xdr:row>
      <xdr:rowOff>40152</xdr:rowOff>
    </xdr:from>
    <xdr:to>
      <xdr:col>27</xdr:col>
      <xdr:colOff>717743</xdr:colOff>
      <xdr:row>37</xdr:row>
      <xdr:rowOff>71452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E9BD8F6-1C11-48BD-9058-D04D193E9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180"/>
  <sheetViews>
    <sheetView tabSelected="1" topLeftCell="M1" zoomScale="90" zoomScaleNormal="55" workbookViewId="0">
      <selection activeCell="S7" sqref="S7"/>
    </sheetView>
  </sheetViews>
  <sheetFormatPr baseColWidth="10" defaultColWidth="10.83203125" defaultRowHeight="16" customHeight="1" x14ac:dyDescent="0.2"/>
  <cols>
    <col min="28" max="28" width="12.33203125" bestFit="1" customWidth="1"/>
  </cols>
  <sheetData>
    <row r="1" spans="1:31" ht="16" customHeight="1" thickBot="1" x14ac:dyDescent="0.25">
      <c r="A1" s="1" t="s">
        <v>14</v>
      </c>
      <c r="G1" s="1" t="s">
        <v>15</v>
      </c>
      <c r="L1" s="1" t="s">
        <v>30</v>
      </c>
      <c r="R1" s="7" t="s">
        <v>21</v>
      </c>
      <c r="V1" s="6"/>
      <c r="W1" s="7" t="s">
        <v>24</v>
      </c>
      <c r="AB1" s="7" t="s">
        <v>28</v>
      </c>
      <c r="AC1" t="s">
        <v>12</v>
      </c>
      <c r="AD1" t="s">
        <v>13</v>
      </c>
      <c r="AE1" t="s">
        <v>29</v>
      </c>
    </row>
    <row r="2" spans="1:31" ht="16" customHeight="1" x14ac:dyDescent="0.2">
      <c r="A2">
        <v>5.4</v>
      </c>
      <c r="B2">
        <v>3.9</v>
      </c>
      <c r="C2">
        <v>1.7</v>
      </c>
      <c r="D2">
        <v>0.4</v>
      </c>
      <c r="E2">
        <v>1</v>
      </c>
      <c r="G2">
        <f t="shared" ref="G2:G33" si="0">A2-$L$10</f>
        <v>-0.44333333333333336</v>
      </c>
      <c r="H2">
        <f t="shared" ref="H2:H33" si="1">B2-$M$10</f>
        <v>0.84600000000000097</v>
      </c>
      <c r="I2">
        <f t="shared" ref="I2:I33" si="2">C2-$N$10</f>
        <v>-2.0586666666666673</v>
      </c>
      <c r="J2">
        <f t="shared" ref="J2:J33" si="3">D2-$O$10</f>
        <v>-0.79866666666666697</v>
      </c>
      <c r="L2" s="4"/>
      <c r="M2" s="4" t="s">
        <v>17</v>
      </c>
      <c r="N2" s="4" t="s">
        <v>18</v>
      </c>
      <c r="O2" s="4" t="s">
        <v>19</v>
      </c>
      <c r="P2" s="4" t="s">
        <v>20</v>
      </c>
      <c r="R2" s="5" t="s">
        <v>23</v>
      </c>
      <c r="S2" s="6" t="s">
        <v>22</v>
      </c>
      <c r="W2" t="s">
        <v>26</v>
      </c>
      <c r="X2">
        <v>4.2248407700000001</v>
      </c>
      <c r="AC2">
        <f t="shared" ref="AC2:AC33" si="4">($X$5*G2)+($Y$5*H2)+($Z$5*I2)+($AA$5*J2)</f>
        <v>-2.2798974547533342</v>
      </c>
      <c r="AD2">
        <f t="shared" ref="AD2:AD33" si="5">($X$6*G2)+($Y$6*H2)+($Z$6*I2)+($AA$6*J2)</f>
        <v>-0.74778270639333422</v>
      </c>
      <c r="AE2">
        <v>1</v>
      </c>
    </row>
    <row r="3" spans="1:31" ht="16" customHeight="1" x14ac:dyDescent="0.2">
      <c r="A3">
        <v>6.4</v>
      </c>
      <c r="B3">
        <v>3.1</v>
      </c>
      <c r="C3">
        <v>5.5</v>
      </c>
      <c r="D3">
        <v>1.8</v>
      </c>
      <c r="E3">
        <v>2</v>
      </c>
      <c r="G3">
        <f t="shared" si="0"/>
        <v>0.55666666666666664</v>
      </c>
      <c r="H3">
        <f t="shared" si="1"/>
        <v>4.6000000000001151E-2</v>
      </c>
      <c r="I3">
        <f t="shared" si="2"/>
        <v>1.741333333333333</v>
      </c>
      <c r="J3">
        <f t="shared" si="3"/>
        <v>0.60133333333333305</v>
      </c>
      <c r="L3" s="2" t="s">
        <v>17</v>
      </c>
      <c r="M3" s="2">
        <f>VARP(iris_with_cluster!$G$2:$G$151)</f>
        <v>0.68112222222222252</v>
      </c>
      <c r="N3" s="2"/>
      <c r="O3" s="2"/>
      <c r="P3" s="2"/>
      <c r="W3" t="s">
        <v>27</v>
      </c>
      <c r="X3">
        <v>0.24224356999999999</v>
      </c>
      <c r="AC3">
        <f t="shared" si="4"/>
        <v>1.9048630372466659</v>
      </c>
      <c r="AD3">
        <f t="shared" si="5"/>
        <v>-4.8047512393334241E-2</v>
      </c>
      <c r="AE3">
        <v>2</v>
      </c>
    </row>
    <row r="4" spans="1:31" ht="16" customHeight="1" x14ac:dyDescent="0.2">
      <c r="A4">
        <v>4.5999999999999996</v>
      </c>
      <c r="B4">
        <v>3.6</v>
      </c>
      <c r="C4">
        <v>1</v>
      </c>
      <c r="D4">
        <v>0.2</v>
      </c>
      <c r="E4">
        <v>1</v>
      </c>
      <c r="G4">
        <f t="shared" si="0"/>
        <v>-1.2433333333333341</v>
      </c>
      <c r="H4">
        <f t="shared" si="1"/>
        <v>0.54600000000000115</v>
      </c>
      <c r="I4">
        <f t="shared" si="2"/>
        <v>-2.758666666666667</v>
      </c>
      <c r="J4">
        <f t="shared" si="3"/>
        <v>-0.99866666666666704</v>
      </c>
      <c r="L4" s="2" t="s">
        <v>18</v>
      </c>
      <c r="M4" s="2">
        <v>-3.9006666666666669E-2</v>
      </c>
      <c r="N4" s="2">
        <f>VARP(iris_with_cluster!$H$2:$H$151)</f>
        <v>0.18675066666666643</v>
      </c>
      <c r="O4" s="2"/>
      <c r="P4" s="2"/>
      <c r="W4" s="7" t="s">
        <v>25</v>
      </c>
      <c r="AC4">
        <f t="shared" si="4"/>
        <v>-3.2158579387533339</v>
      </c>
      <c r="AD4">
        <f t="shared" si="5"/>
        <v>-0.14161556539333378</v>
      </c>
      <c r="AE4">
        <v>1</v>
      </c>
    </row>
    <row r="5" spans="1:31" ht="16" customHeight="1" x14ac:dyDescent="0.2">
      <c r="A5">
        <v>5.5</v>
      </c>
      <c r="B5">
        <v>4.2</v>
      </c>
      <c r="C5">
        <v>1.4</v>
      </c>
      <c r="D5">
        <v>0.2</v>
      </c>
      <c r="E5">
        <v>1</v>
      </c>
      <c r="G5">
        <f t="shared" si="0"/>
        <v>-0.34333333333333371</v>
      </c>
      <c r="H5">
        <f t="shared" si="1"/>
        <v>1.1460000000000012</v>
      </c>
      <c r="I5">
        <f t="shared" si="2"/>
        <v>-2.3586666666666671</v>
      </c>
      <c r="J5">
        <f t="shared" si="3"/>
        <v>-0.99866666666666704</v>
      </c>
      <c r="L5" s="2" t="s">
        <v>19</v>
      </c>
      <c r="M5" s="2">
        <v>1.2651911111111109</v>
      </c>
      <c r="N5" s="2">
        <v>-0.31956800000000013</v>
      </c>
      <c r="O5" s="2">
        <f>VARP(iris_with_cluster!$I$2:$I$151)</f>
        <v>3.0924248888888868</v>
      </c>
      <c r="P5" s="2"/>
      <c r="W5" t="s">
        <v>26</v>
      </c>
      <c r="X5">
        <v>0.36158985999999999</v>
      </c>
      <c r="Y5">
        <v>-8.2268889999999997E-2</v>
      </c>
      <c r="Z5">
        <v>0.85657211</v>
      </c>
      <c r="AA5">
        <v>0.35884392999999998</v>
      </c>
      <c r="AC5">
        <f t="shared" si="4"/>
        <v>-2.5971595547533335</v>
      </c>
      <c r="AD5">
        <f t="shared" si="5"/>
        <v>-1.1000219193933338</v>
      </c>
      <c r="AE5">
        <v>1</v>
      </c>
    </row>
    <row r="6" spans="1:31" ht="16" customHeight="1" thickBot="1" x14ac:dyDescent="0.25">
      <c r="A6">
        <v>5.0999999999999996</v>
      </c>
      <c r="B6">
        <v>3.5</v>
      </c>
      <c r="C6">
        <v>1.4</v>
      </c>
      <c r="D6">
        <v>0.2</v>
      </c>
      <c r="E6">
        <v>1</v>
      </c>
      <c r="G6">
        <f t="shared" si="0"/>
        <v>-0.74333333333333407</v>
      </c>
      <c r="H6">
        <f t="shared" si="1"/>
        <v>0.44600000000000106</v>
      </c>
      <c r="I6">
        <f t="shared" si="2"/>
        <v>-2.3586666666666671</v>
      </c>
      <c r="J6">
        <f t="shared" si="3"/>
        <v>-0.99866666666666704</v>
      </c>
      <c r="L6" s="3" t="s">
        <v>20</v>
      </c>
      <c r="M6" s="3">
        <v>0.51345777777777757</v>
      </c>
      <c r="N6" s="3">
        <v>-0.117194666666667</v>
      </c>
      <c r="O6" s="3">
        <v>1.2877448888888889</v>
      </c>
      <c r="P6" s="3">
        <f>VARP(iris_with_cluster!$J$2:$J$151)</f>
        <v>0.57853155555555602</v>
      </c>
      <c r="W6" t="s">
        <v>27</v>
      </c>
      <c r="X6">
        <v>-0.65653987999999996</v>
      </c>
      <c r="Y6">
        <v>-0.72971237</v>
      </c>
      <c r="Z6">
        <v>0.17576739999999999</v>
      </c>
      <c r="AA6">
        <v>7.4706469999999997E-2</v>
      </c>
      <c r="AC6">
        <f t="shared" si="4"/>
        <v>-2.6842072757533337</v>
      </c>
      <c r="AD6">
        <f t="shared" si="5"/>
        <v>-0.32660730839333374</v>
      </c>
      <c r="AE6">
        <v>1</v>
      </c>
    </row>
    <row r="7" spans="1:31" ht="16" customHeight="1" x14ac:dyDescent="0.2">
      <c r="A7">
        <v>4.3</v>
      </c>
      <c r="B7">
        <v>3</v>
      </c>
      <c r="C7">
        <v>1.1000000000000001</v>
      </c>
      <c r="D7">
        <v>0.1</v>
      </c>
      <c r="E7">
        <v>1</v>
      </c>
      <c r="G7">
        <f t="shared" si="0"/>
        <v>-1.5433333333333339</v>
      </c>
      <c r="H7">
        <f t="shared" si="1"/>
        <v>-5.3999999999998938E-2</v>
      </c>
      <c r="I7">
        <f t="shared" si="2"/>
        <v>-2.658666666666667</v>
      </c>
      <c r="J7">
        <f t="shared" si="3"/>
        <v>-1.0986666666666669</v>
      </c>
      <c r="AC7">
        <f t="shared" si="4"/>
        <v>-3.2252007447533337</v>
      </c>
      <c r="AD7">
        <f t="shared" si="5"/>
        <v>0.50327991360666602</v>
      </c>
      <c r="AE7">
        <v>1</v>
      </c>
    </row>
    <row r="8" spans="1:31" ht="16" customHeight="1" x14ac:dyDescent="0.2">
      <c r="A8">
        <v>7.7</v>
      </c>
      <c r="B8">
        <v>2.6</v>
      </c>
      <c r="C8">
        <v>6.9</v>
      </c>
      <c r="D8">
        <v>2.2999999999999998</v>
      </c>
      <c r="E8">
        <v>2</v>
      </c>
      <c r="G8">
        <f t="shared" si="0"/>
        <v>1.8566666666666665</v>
      </c>
      <c r="H8">
        <f t="shared" si="1"/>
        <v>-0.45399999999999885</v>
      </c>
      <c r="I8">
        <f t="shared" si="2"/>
        <v>3.1413333333333333</v>
      </c>
      <c r="J8">
        <f t="shared" si="3"/>
        <v>1.1013333333333328</v>
      </c>
      <c r="AC8">
        <f t="shared" si="4"/>
        <v>3.7946872192466663</v>
      </c>
      <c r="AD8">
        <f t="shared" si="5"/>
        <v>-0.25326557639333402</v>
      </c>
      <c r="AE8">
        <v>2</v>
      </c>
    </row>
    <row r="9" spans="1:31" ht="16" customHeight="1" x14ac:dyDescent="0.2">
      <c r="A9">
        <v>6.4</v>
      </c>
      <c r="B9">
        <v>2.7</v>
      </c>
      <c r="C9">
        <v>5.3</v>
      </c>
      <c r="D9">
        <v>1.9</v>
      </c>
      <c r="E9">
        <v>2</v>
      </c>
      <c r="G9">
        <f t="shared" si="0"/>
        <v>0.55666666666666664</v>
      </c>
      <c r="H9">
        <f t="shared" si="1"/>
        <v>-0.35399999999999876</v>
      </c>
      <c r="I9">
        <f t="shared" si="2"/>
        <v>1.5413333333333328</v>
      </c>
      <c r="J9">
        <f t="shared" si="3"/>
        <v>0.70133333333333292</v>
      </c>
      <c r="L9" s="1" t="s">
        <v>16</v>
      </c>
      <c r="R9">
        <f>1/AA5</f>
        <v>2.7867268090615327</v>
      </c>
      <c r="S9" s="8">
        <f>X5*$R$9</f>
        <v>1.0076521567468062</v>
      </c>
      <c r="T9" s="8">
        <f>Y5*$R$9</f>
        <v>-0.22926092131473422</v>
      </c>
      <c r="U9" s="8">
        <f>Z5*$R$9</f>
        <v>2.3870324628314044</v>
      </c>
      <c r="V9" s="8">
        <f>AA5*$R$9</f>
        <v>0.99999999999999989</v>
      </c>
      <c r="AC9">
        <f t="shared" si="4"/>
        <v>1.8023405642466659</v>
      </c>
      <c r="AD9">
        <f t="shared" si="5"/>
        <v>0.21615460260666566</v>
      </c>
      <c r="AE9">
        <v>2</v>
      </c>
    </row>
    <row r="10" spans="1:31" ht="16" customHeight="1" x14ac:dyDescent="0.2">
      <c r="A10">
        <v>6</v>
      </c>
      <c r="B10">
        <v>2.9</v>
      </c>
      <c r="C10">
        <v>4.5</v>
      </c>
      <c r="D10">
        <v>1.5</v>
      </c>
      <c r="E10">
        <v>3</v>
      </c>
      <c r="G10">
        <f t="shared" si="0"/>
        <v>0.15666666666666629</v>
      </c>
      <c r="H10">
        <f t="shared" si="1"/>
        <v>-0.15399999999999903</v>
      </c>
      <c r="I10">
        <f t="shared" si="2"/>
        <v>0.74133333333333296</v>
      </c>
      <c r="J10">
        <f t="shared" si="3"/>
        <v>0.30133333333333301</v>
      </c>
      <c r="L10">
        <f>AVERAGE(A2:A151)</f>
        <v>5.8433333333333337</v>
      </c>
      <c r="M10">
        <f>AVERAGE(B2:B151)</f>
        <v>3.0539999999999989</v>
      </c>
      <c r="N10">
        <f>AVERAGE(C2:C151)</f>
        <v>3.758666666666667</v>
      </c>
      <c r="O10">
        <f>AVERAGE(D2:D151)</f>
        <v>1.198666666666667</v>
      </c>
      <c r="R10">
        <v>0.36158968000000002</v>
      </c>
      <c r="S10">
        <v>-0.65653987999999996</v>
      </c>
      <c r="T10">
        <v>-0.58099727999999995</v>
      </c>
      <c r="U10">
        <v>0.31725455000000002</v>
      </c>
      <c r="V10" s="8"/>
      <c r="AC10">
        <f t="shared" si="4"/>
        <v>0.81245558224666603</v>
      </c>
      <c r="AD10">
        <f t="shared" si="5"/>
        <v>0.16233157260666609</v>
      </c>
      <c r="AE10">
        <v>3</v>
      </c>
    </row>
    <row r="11" spans="1:31" ht="16" customHeight="1" x14ac:dyDescent="0.2">
      <c r="A11">
        <v>6.7</v>
      </c>
      <c r="B11">
        <v>3.1</v>
      </c>
      <c r="C11">
        <v>4.4000000000000004</v>
      </c>
      <c r="D11">
        <v>1.4</v>
      </c>
      <c r="E11">
        <v>3</v>
      </c>
      <c r="G11">
        <f t="shared" si="0"/>
        <v>0.85666666666666647</v>
      </c>
      <c r="H11">
        <f t="shared" si="1"/>
        <v>4.6000000000001151E-2</v>
      </c>
      <c r="I11">
        <f t="shared" si="2"/>
        <v>0.64133333333333331</v>
      </c>
      <c r="J11">
        <f t="shared" si="3"/>
        <v>0.20133333333333292</v>
      </c>
      <c r="R11">
        <v>-8.2268889999999997E-2</v>
      </c>
      <c r="S11">
        <v>-0.72971237</v>
      </c>
      <c r="T11">
        <v>0.59641809000000001</v>
      </c>
      <c r="U11">
        <v>-0.32409434999999998</v>
      </c>
      <c r="AC11">
        <f t="shared" si="4"/>
        <v>0.92757310224666634</v>
      </c>
      <c r="AD11">
        <f t="shared" si="5"/>
        <v>-0.46823620439333408</v>
      </c>
      <c r="AE11">
        <v>3</v>
      </c>
    </row>
    <row r="12" spans="1:31" ht="16" customHeight="1" x14ac:dyDescent="0.2">
      <c r="A12">
        <v>6.9</v>
      </c>
      <c r="B12">
        <v>3.1</v>
      </c>
      <c r="C12">
        <v>5.0999999999999996</v>
      </c>
      <c r="D12">
        <v>2.2999999999999998</v>
      </c>
      <c r="E12">
        <v>2</v>
      </c>
      <c r="G12">
        <f t="shared" si="0"/>
        <v>1.0566666666666666</v>
      </c>
      <c r="H12">
        <f t="shared" si="1"/>
        <v>4.6000000000001151E-2</v>
      </c>
      <c r="I12">
        <f t="shared" si="2"/>
        <v>1.3413333333333326</v>
      </c>
      <c r="J12">
        <f t="shared" si="3"/>
        <v>1.1013333333333328</v>
      </c>
      <c r="AC12">
        <f t="shared" si="4"/>
        <v>1.9224510882466657</v>
      </c>
      <c r="AD12">
        <f t="shared" si="5"/>
        <v>-0.4092711773933343</v>
      </c>
      <c r="AE12">
        <v>2</v>
      </c>
    </row>
    <row r="13" spans="1:31" ht="16" customHeight="1" x14ac:dyDescent="0.2">
      <c r="A13">
        <v>4.9000000000000004</v>
      </c>
      <c r="B13">
        <v>3.1</v>
      </c>
      <c r="C13">
        <v>1.5</v>
      </c>
      <c r="D13">
        <v>0.1</v>
      </c>
      <c r="E13">
        <v>1</v>
      </c>
      <c r="G13">
        <f t="shared" si="0"/>
        <v>-0.94333333333333336</v>
      </c>
      <c r="H13">
        <f t="shared" si="1"/>
        <v>4.6000000000001151E-2</v>
      </c>
      <c r="I13">
        <f t="shared" si="2"/>
        <v>-2.258666666666667</v>
      </c>
      <c r="J13">
        <f t="shared" si="3"/>
        <v>-1.0986666666666669</v>
      </c>
      <c r="R13">
        <v>1.0076099999999999</v>
      </c>
      <c r="S13">
        <v>-0.2286</v>
      </c>
      <c r="T13">
        <v>2.3880400000000002</v>
      </c>
      <c r="U13">
        <v>1</v>
      </c>
      <c r="W13">
        <v>0.36158985999999999</v>
      </c>
      <c r="X13">
        <v>-8.2268889999999997E-2</v>
      </c>
      <c r="Y13">
        <v>0.85657211</v>
      </c>
      <c r="Z13">
        <v>0.35884392999999998</v>
      </c>
      <c r="AC13">
        <f t="shared" si="4"/>
        <v>-2.6738448737533336</v>
      </c>
      <c r="AD13">
        <f t="shared" si="5"/>
        <v>0.10669170860666576</v>
      </c>
      <c r="AE13">
        <v>1</v>
      </c>
    </row>
    <row r="14" spans="1:31" ht="16" customHeight="1" x14ac:dyDescent="0.2">
      <c r="A14">
        <v>5.8</v>
      </c>
      <c r="B14">
        <v>2.8</v>
      </c>
      <c r="C14">
        <v>5.0999999999999996</v>
      </c>
      <c r="D14">
        <v>2.4</v>
      </c>
      <c r="E14">
        <v>2</v>
      </c>
      <c r="G14">
        <f t="shared" si="0"/>
        <v>-4.333333333333389E-2</v>
      </c>
      <c r="H14">
        <f t="shared" si="1"/>
        <v>-0.25399999999999912</v>
      </c>
      <c r="I14">
        <f t="shared" si="2"/>
        <v>1.3413333333333326</v>
      </c>
      <c r="J14">
        <f t="shared" si="3"/>
        <v>1.2013333333333329</v>
      </c>
      <c r="R14">
        <v>-8.8503799999999995</v>
      </c>
      <c r="S14">
        <v>-9.8211499999999994</v>
      </c>
      <c r="T14">
        <v>2.3750900000000001</v>
      </c>
      <c r="U14">
        <v>1</v>
      </c>
      <c r="W14">
        <v>-0.65653987999999996</v>
      </c>
      <c r="X14">
        <v>-0.72971237</v>
      </c>
      <c r="Y14">
        <v>0.17576739999999999</v>
      </c>
      <c r="Z14">
        <v>7.4706469999999997E-2</v>
      </c>
      <c r="AC14">
        <f t="shared" si="4"/>
        <v>1.5852673022466657</v>
      </c>
      <c r="AD14">
        <f t="shared" si="5"/>
        <v>0.53930704860666623</v>
      </c>
      <c r="AE14">
        <v>2</v>
      </c>
    </row>
    <row r="15" spans="1:31" ht="16" customHeight="1" x14ac:dyDescent="0.2">
      <c r="A15">
        <v>5.5</v>
      </c>
      <c r="B15">
        <v>3.5</v>
      </c>
      <c r="C15">
        <v>1.3</v>
      </c>
      <c r="D15">
        <v>0.2</v>
      </c>
      <c r="E15">
        <v>1</v>
      </c>
      <c r="G15">
        <f t="shared" si="0"/>
        <v>-0.34333333333333371</v>
      </c>
      <c r="H15">
        <f t="shared" si="1"/>
        <v>0.44600000000000106</v>
      </c>
      <c r="I15">
        <f t="shared" si="2"/>
        <v>-2.4586666666666668</v>
      </c>
      <c r="J15">
        <f t="shared" si="3"/>
        <v>-0.99866666666666704</v>
      </c>
      <c r="AC15">
        <f t="shared" si="4"/>
        <v>-2.6252285427533337</v>
      </c>
      <c r="AD15">
        <f t="shared" si="5"/>
        <v>-0.60680000039333393</v>
      </c>
      <c r="AE15">
        <v>1</v>
      </c>
    </row>
    <row r="16" spans="1:31" ht="16" customHeight="1" x14ac:dyDescent="0.2">
      <c r="A16">
        <v>4.8</v>
      </c>
      <c r="B16">
        <v>3</v>
      </c>
      <c r="C16">
        <v>1.4</v>
      </c>
      <c r="D16">
        <v>0.1</v>
      </c>
      <c r="E16">
        <v>1</v>
      </c>
      <c r="G16">
        <f t="shared" si="0"/>
        <v>-1.0433333333333339</v>
      </c>
      <c r="H16">
        <f t="shared" si="1"/>
        <v>-5.3999999999998938E-2</v>
      </c>
      <c r="I16">
        <f t="shared" si="2"/>
        <v>-2.3586666666666671</v>
      </c>
      <c r="J16">
        <f t="shared" si="3"/>
        <v>-1.0986666666666669</v>
      </c>
      <c r="AC16">
        <f t="shared" si="4"/>
        <v>-2.7874341817533335</v>
      </c>
      <c r="AD16">
        <f t="shared" si="5"/>
        <v>0.22774019360666614</v>
      </c>
      <c r="AE16">
        <v>1</v>
      </c>
    </row>
    <row r="17" spans="1:31" ht="16" customHeight="1" x14ac:dyDescent="0.2">
      <c r="A17">
        <v>5.0999999999999996</v>
      </c>
      <c r="B17">
        <v>3.8</v>
      </c>
      <c r="C17">
        <v>1.5</v>
      </c>
      <c r="D17">
        <v>0.3</v>
      </c>
      <c r="E17">
        <v>1</v>
      </c>
      <c r="G17">
        <f t="shared" si="0"/>
        <v>-0.74333333333333407</v>
      </c>
      <c r="H17">
        <f t="shared" si="1"/>
        <v>0.74600000000000088</v>
      </c>
      <c r="I17">
        <f t="shared" si="2"/>
        <v>-2.258666666666667</v>
      </c>
      <c r="J17">
        <f t="shared" si="3"/>
        <v>-0.89866666666666695</v>
      </c>
      <c r="AC17">
        <f t="shared" si="4"/>
        <v>-2.587346338753334</v>
      </c>
      <c r="AD17">
        <f t="shared" si="5"/>
        <v>-0.52047363239333366</v>
      </c>
      <c r="AE17">
        <v>1</v>
      </c>
    </row>
    <row r="18" spans="1:31" ht="16" customHeight="1" x14ac:dyDescent="0.2">
      <c r="A18">
        <v>6.7</v>
      </c>
      <c r="B18">
        <v>3.3</v>
      </c>
      <c r="C18">
        <v>5.7</v>
      </c>
      <c r="D18">
        <v>2.1</v>
      </c>
      <c r="E18">
        <v>2</v>
      </c>
      <c r="G18">
        <f t="shared" si="0"/>
        <v>0.85666666666666647</v>
      </c>
      <c r="H18">
        <f t="shared" si="1"/>
        <v>0.24600000000000088</v>
      </c>
      <c r="I18">
        <f t="shared" si="2"/>
        <v>1.9413333333333331</v>
      </c>
      <c r="J18">
        <f t="shared" si="3"/>
        <v>0.9013333333333331</v>
      </c>
      <c r="AC18">
        <f t="shared" si="4"/>
        <v>2.2758538182466661</v>
      </c>
      <c r="AD18">
        <f t="shared" si="5"/>
        <v>-0.3333865293933338</v>
      </c>
      <c r="AE18">
        <v>2</v>
      </c>
    </row>
    <row r="19" spans="1:31" ht="16" customHeight="1" x14ac:dyDescent="0.2">
      <c r="A19">
        <v>6.4</v>
      </c>
      <c r="B19">
        <v>3.2</v>
      </c>
      <c r="C19">
        <v>4.5</v>
      </c>
      <c r="D19">
        <v>1.5</v>
      </c>
      <c r="E19">
        <v>3</v>
      </c>
      <c r="G19">
        <f t="shared" si="0"/>
        <v>0.55666666666666664</v>
      </c>
      <c r="H19">
        <f t="shared" si="1"/>
        <v>0.14600000000000124</v>
      </c>
      <c r="I19">
        <f t="shared" si="2"/>
        <v>0.74133333333333296</v>
      </c>
      <c r="J19">
        <f t="shared" si="3"/>
        <v>0.30133333333333301</v>
      </c>
      <c r="AC19">
        <f t="shared" si="4"/>
        <v>0.93241085924666611</v>
      </c>
      <c r="AD19">
        <f t="shared" si="5"/>
        <v>-0.3191980903933343</v>
      </c>
      <c r="AE19">
        <v>3</v>
      </c>
    </row>
    <row r="20" spans="1:31" ht="16" customHeight="1" x14ac:dyDescent="0.2">
      <c r="A20">
        <v>5.7</v>
      </c>
      <c r="B20">
        <v>4.4000000000000004</v>
      </c>
      <c r="C20">
        <v>1.5</v>
      </c>
      <c r="D20">
        <v>0.4</v>
      </c>
      <c r="E20">
        <v>1</v>
      </c>
      <c r="G20">
        <f t="shared" si="0"/>
        <v>-0.14333333333333353</v>
      </c>
      <c r="H20">
        <f t="shared" si="1"/>
        <v>1.3460000000000014</v>
      </c>
      <c r="I20">
        <f t="shared" si="2"/>
        <v>-2.258666666666667</v>
      </c>
      <c r="J20">
        <f t="shared" si="3"/>
        <v>-0.79866666666666697</v>
      </c>
      <c r="AC20">
        <f t="shared" si="4"/>
        <v>-2.3838693637533339</v>
      </c>
      <c r="AD20">
        <f t="shared" si="5"/>
        <v>-1.3447543353933342</v>
      </c>
      <c r="AE20">
        <v>1</v>
      </c>
    </row>
    <row r="21" spans="1:31" ht="16" customHeight="1" x14ac:dyDescent="0.2">
      <c r="A21">
        <v>6.8</v>
      </c>
      <c r="B21">
        <v>3</v>
      </c>
      <c r="C21">
        <v>5.5</v>
      </c>
      <c r="D21">
        <v>2.1</v>
      </c>
      <c r="E21">
        <v>2</v>
      </c>
      <c r="G21">
        <f t="shared" si="0"/>
        <v>0.95666666666666611</v>
      </c>
      <c r="H21">
        <f t="shared" si="1"/>
        <v>-5.3999999999998938E-2</v>
      </c>
      <c r="I21">
        <f t="shared" si="2"/>
        <v>1.741333333333333</v>
      </c>
      <c r="J21">
        <f t="shared" si="3"/>
        <v>0.9013333333333331</v>
      </c>
      <c r="AC21">
        <f t="shared" si="4"/>
        <v>2.165379049246666</v>
      </c>
      <c r="AD21">
        <f t="shared" si="5"/>
        <v>-0.2152802863933338</v>
      </c>
      <c r="AE21">
        <v>2</v>
      </c>
    </row>
    <row r="22" spans="1:31" ht="16" customHeight="1" x14ac:dyDescent="0.2">
      <c r="A22">
        <v>4.5999999999999996</v>
      </c>
      <c r="B22">
        <v>3.4</v>
      </c>
      <c r="C22">
        <v>1.4</v>
      </c>
      <c r="D22">
        <v>0.3</v>
      </c>
      <c r="E22">
        <v>1</v>
      </c>
      <c r="G22">
        <f t="shared" si="0"/>
        <v>-1.2433333333333341</v>
      </c>
      <c r="H22">
        <f t="shared" si="1"/>
        <v>0.34600000000000097</v>
      </c>
      <c r="I22">
        <f t="shared" si="2"/>
        <v>-2.3586666666666671</v>
      </c>
      <c r="J22">
        <f t="shared" si="3"/>
        <v>-0.89866666666666695</v>
      </c>
      <c r="AC22">
        <f t="shared" si="4"/>
        <v>-2.8208909237533337</v>
      </c>
      <c r="AD22">
        <f t="shared" si="5"/>
        <v>8.2104515606666359E-2</v>
      </c>
      <c r="AE22">
        <v>1</v>
      </c>
    </row>
    <row r="23" spans="1:31" ht="16" customHeight="1" x14ac:dyDescent="0.2">
      <c r="A23">
        <v>6.8</v>
      </c>
      <c r="B23">
        <v>2.8</v>
      </c>
      <c r="C23">
        <v>4.8</v>
      </c>
      <c r="D23">
        <v>1.4</v>
      </c>
      <c r="E23">
        <v>2</v>
      </c>
      <c r="G23">
        <f t="shared" si="0"/>
        <v>0.95666666666666611</v>
      </c>
      <c r="H23">
        <f t="shared" si="1"/>
        <v>-0.25399999999999912</v>
      </c>
      <c r="I23">
        <f t="shared" si="2"/>
        <v>1.0413333333333328</v>
      </c>
      <c r="J23">
        <f t="shared" si="3"/>
        <v>0.20133333333333292</v>
      </c>
      <c r="AC23">
        <f t="shared" si="4"/>
        <v>1.3310415992466655</v>
      </c>
      <c r="AD23">
        <f t="shared" si="5"/>
        <v>-0.2446695213933337</v>
      </c>
      <c r="AE23">
        <v>2</v>
      </c>
    </row>
    <row r="24" spans="1:31" ht="16" customHeight="1" x14ac:dyDescent="0.2">
      <c r="A24">
        <v>6.3</v>
      </c>
      <c r="B24">
        <v>3.3</v>
      </c>
      <c r="C24">
        <v>6</v>
      </c>
      <c r="D24">
        <v>2.5</v>
      </c>
      <c r="E24">
        <v>2</v>
      </c>
      <c r="G24">
        <f t="shared" si="0"/>
        <v>0.45666666666666611</v>
      </c>
      <c r="H24">
        <f t="shared" si="1"/>
        <v>0.24600000000000088</v>
      </c>
      <c r="I24">
        <f t="shared" si="2"/>
        <v>2.241333333333333</v>
      </c>
      <c r="J24">
        <f t="shared" si="3"/>
        <v>1.301333333333333</v>
      </c>
      <c r="AC24">
        <f t="shared" si="4"/>
        <v>2.5317270792466662</v>
      </c>
      <c r="AD24">
        <f t="shared" si="5"/>
        <v>1.1842230606666268E-2</v>
      </c>
      <c r="AE24">
        <v>2</v>
      </c>
    </row>
    <row r="25" spans="1:31" ht="16" customHeight="1" x14ac:dyDescent="0.2">
      <c r="A25">
        <v>5.6</v>
      </c>
      <c r="B25">
        <v>2.9</v>
      </c>
      <c r="C25">
        <v>3.6</v>
      </c>
      <c r="D25">
        <v>1.3</v>
      </c>
      <c r="E25">
        <v>3</v>
      </c>
      <c r="G25">
        <f t="shared" si="0"/>
        <v>-0.24333333333333407</v>
      </c>
      <c r="H25">
        <f t="shared" si="1"/>
        <v>-0.15399999999999903</v>
      </c>
      <c r="I25">
        <f t="shared" si="2"/>
        <v>-0.15866666666666696</v>
      </c>
      <c r="J25">
        <f t="shared" si="3"/>
        <v>0.10133333333333305</v>
      </c>
      <c r="AC25">
        <f t="shared" si="4"/>
        <v>-0.174864046753334</v>
      </c>
      <c r="AD25">
        <f t="shared" si="5"/>
        <v>0.25181557060666637</v>
      </c>
      <c r="AE25">
        <v>3</v>
      </c>
    </row>
    <row r="26" spans="1:31" ht="16" customHeight="1" x14ac:dyDescent="0.2">
      <c r="A26">
        <v>5.7</v>
      </c>
      <c r="B26">
        <v>2.5</v>
      </c>
      <c r="C26">
        <v>5</v>
      </c>
      <c r="D26">
        <v>2</v>
      </c>
      <c r="E26">
        <v>3</v>
      </c>
      <c r="G26">
        <f t="shared" si="0"/>
        <v>-0.14333333333333353</v>
      </c>
      <c r="H26">
        <f t="shared" si="1"/>
        <v>-0.55399999999999894</v>
      </c>
      <c r="I26">
        <f t="shared" si="2"/>
        <v>1.241333333333333</v>
      </c>
      <c r="J26">
        <f t="shared" si="3"/>
        <v>0.80133333333333301</v>
      </c>
      <c r="AC26">
        <f t="shared" si="4"/>
        <v>1.3445942002466662</v>
      </c>
      <c r="AD26">
        <f t="shared" si="5"/>
        <v>0.77641541960666594</v>
      </c>
      <c r="AE26">
        <v>3</v>
      </c>
    </row>
    <row r="27" spans="1:31" ht="16" customHeight="1" x14ac:dyDescent="0.2">
      <c r="A27">
        <v>5.0999999999999996</v>
      </c>
      <c r="B27">
        <v>3.7</v>
      </c>
      <c r="C27">
        <v>1.5</v>
      </c>
      <c r="D27">
        <v>0.4</v>
      </c>
      <c r="E27">
        <v>1</v>
      </c>
      <c r="G27">
        <f t="shared" si="0"/>
        <v>-0.74333333333333407</v>
      </c>
      <c r="H27">
        <f t="shared" si="1"/>
        <v>0.64600000000000124</v>
      </c>
      <c r="I27">
        <f t="shared" si="2"/>
        <v>-2.258666666666667</v>
      </c>
      <c r="J27">
        <f t="shared" si="3"/>
        <v>-0.79866666666666697</v>
      </c>
      <c r="AC27">
        <f t="shared" si="4"/>
        <v>-2.5432350567533342</v>
      </c>
      <c r="AD27">
        <f t="shared" si="5"/>
        <v>-0.44003174839333387</v>
      </c>
      <c r="AE27">
        <v>1</v>
      </c>
    </row>
    <row r="28" spans="1:31" ht="16" customHeight="1" x14ac:dyDescent="0.2">
      <c r="A28">
        <v>5.0999999999999996</v>
      </c>
      <c r="B28">
        <v>3.5</v>
      </c>
      <c r="C28">
        <v>1.4</v>
      </c>
      <c r="D28">
        <v>0.3</v>
      </c>
      <c r="E28">
        <v>1</v>
      </c>
      <c r="G28">
        <f t="shared" si="0"/>
        <v>-0.74333333333333407</v>
      </c>
      <c r="H28">
        <f t="shared" si="1"/>
        <v>0.44600000000000106</v>
      </c>
      <c r="I28">
        <f t="shared" si="2"/>
        <v>-2.3586666666666671</v>
      </c>
      <c r="J28">
        <f t="shared" si="3"/>
        <v>-0.89866666666666695</v>
      </c>
      <c r="AC28">
        <f t="shared" si="4"/>
        <v>-2.6483228827533338</v>
      </c>
      <c r="AD28">
        <f t="shared" si="5"/>
        <v>-0.31913666139333374</v>
      </c>
      <c r="AE28">
        <v>1</v>
      </c>
    </row>
    <row r="29" spans="1:31" ht="16" customHeight="1" x14ac:dyDescent="0.2">
      <c r="A29">
        <v>6.3</v>
      </c>
      <c r="B29">
        <v>2.5</v>
      </c>
      <c r="C29">
        <v>5</v>
      </c>
      <c r="D29">
        <v>1.9</v>
      </c>
      <c r="E29">
        <v>2</v>
      </c>
      <c r="G29">
        <f t="shared" si="0"/>
        <v>0.45666666666666611</v>
      </c>
      <c r="H29">
        <f t="shared" si="1"/>
        <v>-0.55399999999999894</v>
      </c>
      <c r="I29">
        <f t="shared" si="2"/>
        <v>1.241333333333333</v>
      </c>
      <c r="J29">
        <f t="shared" si="3"/>
        <v>0.70133333333333292</v>
      </c>
      <c r="AC29">
        <f t="shared" si="4"/>
        <v>1.5256637232466659</v>
      </c>
      <c r="AD29">
        <f t="shared" si="5"/>
        <v>0.37502084460666613</v>
      </c>
      <c r="AE29">
        <v>2</v>
      </c>
    </row>
    <row r="30" spans="1:31" ht="16" customHeight="1" x14ac:dyDescent="0.2">
      <c r="A30">
        <v>5.4</v>
      </c>
      <c r="B30">
        <v>3.4</v>
      </c>
      <c r="C30">
        <v>1.5</v>
      </c>
      <c r="D30">
        <v>0.4</v>
      </c>
      <c r="E30">
        <v>1</v>
      </c>
      <c r="G30">
        <f t="shared" si="0"/>
        <v>-0.44333333333333336</v>
      </c>
      <c r="H30">
        <f t="shared" si="1"/>
        <v>0.34600000000000097</v>
      </c>
      <c r="I30">
        <f t="shared" si="2"/>
        <v>-2.258666666666667</v>
      </c>
      <c r="J30">
        <f t="shared" si="3"/>
        <v>-0.79866666666666697</v>
      </c>
      <c r="AC30">
        <f t="shared" si="4"/>
        <v>-2.4100774317533338</v>
      </c>
      <c r="AD30">
        <f t="shared" si="5"/>
        <v>-0.41808000139333412</v>
      </c>
      <c r="AE30">
        <v>1</v>
      </c>
    </row>
    <row r="31" spans="1:31" ht="16" customHeight="1" x14ac:dyDescent="0.2">
      <c r="A31">
        <v>5.8</v>
      </c>
      <c r="B31">
        <v>2.7</v>
      </c>
      <c r="C31">
        <v>3.9</v>
      </c>
      <c r="D31">
        <v>1.2</v>
      </c>
      <c r="E31">
        <v>3</v>
      </c>
      <c r="G31">
        <f t="shared" si="0"/>
        <v>-4.333333333333389E-2</v>
      </c>
      <c r="H31">
        <f t="shared" si="1"/>
        <v>-0.35399999999999876</v>
      </c>
      <c r="I31">
        <f t="shared" si="2"/>
        <v>0.14133333333333287</v>
      </c>
      <c r="J31">
        <f t="shared" si="3"/>
        <v>1.3333333333329644E-3</v>
      </c>
      <c r="AC31">
        <f t="shared" si="4"/>
        <v>0.13499494324666583</v>
      </c>
      <c r="AD31">
        <f t="shared" si="5"/>
        <v>0.31170964160666598</v>
      </c>
      <c r="AE31">
        <v>3</v>
      </c>
    </row>
    <row r="32" spans="1:31" ht="16" customHeight="1" x14ac:dyDescent="0.2">
      <c r="A32">
        <v>6</v>
      </c>
      <c r="B32">
        <v>3</v>
      </c>
      <c r="C32">
        <v>4.8</v>
      </c>
      <c r="D32">
        <v>1.8</v>
      </c>
      <c r="E32">
        <v>3</v>
      </c>
      <c r="G32">
        <f t="shared" si="0"/>
        <v>0.15666666666666629</v>
      </c>
      <c r="H32">
        <f t="shared" si="1"/>
        <v>-5.3999999999998938E-2</v>
      </c>
      <c r="I32">
        <f t="shared" si="2"/>
        <v>1.0413333333333328</v>
      </c>
      <c r="J32">
        <f t="shared" si="3"/>
        <v>0.60133333333333305</v>
      </c>
      <c r="AC32">
        <f t="shared" si="4"/>
        <v>1.1688535052466658</v>
      </c>
      <c r="AD32">
        <f t="shared" si="5"/>
        <v>0.16450249660666602</v>
      </c>
      <c r="AE32">
        <v>3</v>
      </c>
    </row>
    <row r="33" spans="1:31" ht="16" customHeight="1" x14ac:dyDescent="0.2">
      <c r="A33">
        <v>5.5</v>
      </c>
      <c r="B33">
        <v>2.6</v>
      </c>
      <c r="C33">
        <v>4.4000000000000004</v>
      </c>
      <c r="D33">
        <v>1.2</v>
      </c>
      <c r="E33">
        <v>3</v>
      </c>
      <c r="G33">
        <f t="shared" si="0"/>
        <v>-0.34333333333333371</v>
      </c>
      <c r="H33">
        <f t="shared" si="1"/>
        <v>-0.45399999999999885</v>
      </c>
      <c r="I33">
        <f t="shared" si="2"/>
        <v>0.64133333333333331</v>
      </c>
      <c r="J33">
        <f t="shared" si="3"/>
        <v>1.3333333333329644E-3</v>
      </c>
      <c r="AC33">
        <f t="shared" si="4"/>
        <v>0.46303092924666633</v>
      </c>
      <c r="AD33">
        <f t="shared" si="5"/>
        <v>0.66952654260666611</v>
      </c>
      <c r="AE33">
        <v>3</v>
      </c>
    </row>
    <row r="34" spans="1:31" ht="16" customHeight="1" x14ac:dyDescent="0.2">
      <c r="A34">
        <v>7.2</v>
      </c>
      <c r="B34">
        <v>3.2</v>
      </c>
      <c r="C34">
        <v>6</v>
      </c>
      <c r="D34">
        <v>1.8</v>
      </c>
      <c r="E34">
        <v>2</v>
      </c>
      <c r="G34">
        <f t="shared" ref="G34:G65" si="6">A34-$L$10</f>
        <v>1.3566666666666665</v>
      </c>
      <c r="H34">
        <f t="shared" ref="H34:H65" si="7">B34-$M$10</f>
        <v>0.14600000000000124</v>
      </c>
      <c r="I34">
        <f t="shared" ref="I34:I65" si="8">C34-$N$10</f>
        <v>2.241333333333333</v>
      </c>
      <c r="J34">
        <f t="shared" ref="J34:J65" si="9">D34-$O$10</f>
        <v>0.60133333333333305</v>
      </c>
      <c r="AC34">
        <f t="shared" ref="AC34:AC65" si="10">($X$5*G34)+($Y$5*H34)+($Z$5*I34)+($AA$5*J34)</f>
        <v>2.6141940912466661</v>
      </c>
      <c r="AD34">
        <f t="shared" ref="AD34:AD65" si="11">($X$6*G34)+($Y$6*H34)+($Z$6*I34)+($AA$6*J34)</f>
        <v>-0.55836695339333398</v>
      </c>
      <c r="AE34">
        <v>2</v>
      </c>
    </row>
    <row r="35" spans="1:31" ht="16" customHeight="1" x14ac:dyDescent="0.2">
      <c r="A35">
        <v>5.2</v>
      </c>
      <c r="B35">
        <v>2.7</v>
      </c>
      <c r="C35">
        <v>3.9</v>
      </c>
      <c r="D35">
        <v>1.4</v>
      </c>
      <c r="E35">
        <v>3</v>
      </c>
      <c r="G35">
        <f t="shared" si="6"/>
        <v>-0.64333333333333353</v>
      </c>
      <c r="H35">
        <f t="shared" si="7"/>
        <v>-0.35399999999999876</v>
      </c>
      <c r="I35">
        <f t="shared" si="8"/>
        <v>0.14133333333333287</v>
      </c>
      <c r="J35">
        <f t="shared" si="9"/>
        <v>0.20133333333333292</v>
      </c>
      <c r="AC35">
        <f t="shared" si="10"/>
        <v>-1.0190186753334066E-2</v>
      </c>
      <c r="AD35">
        <f t="shared" si="11"/>
        <v>0.72057486360666578</v>
      </c>
      <c r="AE35">
        <v>3</v>
      </c>
    </row>
    <row r="36" spans="1:31" ht="16" customHeight="1" x14ac:dyDescent="0.2">
      <c r="A36">
        <v>7.4</v>
      </c>
      <c r="B36">
        <v>2.8</v>
      </c>
      <c r="C36">
        <v>6.1</v>
      </c>
      <c r="D36">
        <v>1.9</v>
      </c>
      <c r="E36">
        <v>2</v>
      </c>
      <c r="G36">
        <f t="shared" si="6"/>
        <v>1.5566666666666666</v>
      </c>
      <c r="H36">
        <f t="shared" si="7"/>
        <v>-0.25399999999999912</v>
      </c>
      <c r="I36">
        <f t="shared" si="8"/>
        <v>2.3413333333333326</v>
      </c>
      <c r="J36">
        <f t="shared" si="9"/>
        <v>0.70133333333333292</v>
      </c>
      <c r="AC36">
        <f t="shared" si="10"/>
        <v>2.8409612232466657</v>
      </c>
      <c r="AD36">
        <f t="shared" si="11"/>
        <v>-0.37274259439333407</v>
      </c>
      <c r="AE36">
        <v>2</v>
      </c>
    </row>
    <row r="37" spans="1:31" ht="16" customHeight="1" x14ac:dyDescent="0.2">
      <c r="A37">
        <v>5.5</v>
      </c>
      <c r="B37">
        <v>2.4</v>
      </c>
      <c r="C37">
        <v>3.8</v>
      </c>
      <c r="D37">
        <v>1.1000000000000001</v>
      </c>
      <c r="E37">
        <v>3</v>
      </c>
      <c r="G37">
        <f t="shared" si="6"/>
        <v>-0.34333333333333371</v>
      </c>
      <c r="H37">
        <f t="shared" si="7"/>
        <v>-0.65399999999999903</v>
      </c>
      <c r="I37">
        <f t="shared" si="8"/>
        <v>4.1333333333332778E-2</v>
      </c>
      <c r="J37">
        <f t="shared" si="9"/>
        <v>-9.8666666666666902E-2</v>
      </c>
      <c r="AC37">
        <f t="shared" si="10"/>
        <v>-7.0342951753334104E-2</v>
      </c>
      <c r="AD37">
        <f t="shared" si="11"/>
        <v>0.70253792960666606</v>
      </c>
      <c r="AE37">
        <v>3</v>
      </c>
    </row>
    <row r="38" spans="1:31" ht="16" customHeight="1" x14ac:dyDescent="0.2">
      <c r="A38">
        <v>4.9000000000000004</v>
      </c>
      <c r="B38">
        <v>2.4</v>
      </c>
      <c r="C38">
        <v>3.3</v>
      </c>
      <c r="D38">
        <v>1</v>
      </c>
      <c r="E38">
        <v>3</v>
      </c>
      <c r="G38">
        <f t="shared" si="6"/>
        <v>-0.94333333333333336</v>
      </c>
      <c r="H38">
        <f t="shared" si="7"/>
        <v>-0.65399999999999903</v>
      </c>
      <c r="I38">
        <f t="shared" si="8"/>
        <v>-0.45866666666666722</v>
      </c>
      <c r="J38">
        <f t="shared" si="9"/>
        <v>-0.19866666666666699</v>
      </c>
      <c r="AC38">
        <f t="shared" si="10"/>
        <v>-0.75146731575333403</v>
      </c>
      <c r="AD38">
        <f t="shared" si="11"/>
        <v>1.0011075106066658</v>
      </c>
      <c r="AE38">
        <v>3</v>
      </c>
    </row>
    <row r="39" spans="1:31" ht="16" customHeight="1" x14ac:dyDescent="0.2">
      <c r="A39">
        <v>5.6</v>
      </c>
      <c r="B39">
        <v>3</v>
      </c>
      <c r="C39">
        <v>4.5</v>
      </c>
      <c r="D39">
        <v>1.5</v>
      </c>
      <c r="E39">
        <v>3</v>
      </c>
      <c r="G39">
        <f t="shared" si="6"/>
        <v>-0.24333333333333407</v>
      </c>
      <c r="H39">
        <f t="shared" si="7"/>
        <v>-5.3999999999998938E-2</v>
      </c>
      <c r="I39">
        <f t="shared" si="8"/>
        <v>0.74133333333333296</v>
      </c>
      <c r="J39">
        <f t="shared" si="9"/>
        <v>0.30133333333333301</v>
      </c>
      <c r="AC39">
        <f t="shared" si="10"/>
        <v>0.65959274924666589</v>
      </c>
      <c r="AD39">
        <f t="shared" si="11"/>
        <v>0.35197628760666627</v>
      </c>
      <c r="AE39">
        <v>3</v>
      </c>
    </row>
    <row r="40" spans="1:31" ht="16" customHeight="1" x14ac:dyDescent="0.2">
      <c r="A40">
        <v>6.9</v>
      </c>
      <c r="B40">
        <v>3.2</v>
      </c>
      <c r="C40">
        <v>5.7</v>
      </c>
      <c r="D40">
        <v>2.2999999999999998</v>
      </c>
      <c r="E40">
        <v>2</v>
      </c>
      <c r="G40">
        <f t="shared" si="6"/>
        <v>1.0566666666666666</v>
      </c>
      <c r="H40">
        <f t="shared" si="7"/>
        <v>0.14600000000000124</v>
      </c>
      <c r="I40">
        <f t="shared" si="8"/>
        <v>1.9413333333333331</v>
      </c>
      <c r="J40">
        <f t="shared" si="9"/>
        <v>1.1013333333333328</v>
      </c>
      <c r="AC40">
        <f t="shared" si="10"/>
        <v>2.4281674652466663</v>
      </c>
      <c r="AD40">
        <f t="shared" si="11"/>
        <v>-0.37678197439333427</v>
      </c>
      <c r="AE40">
        <v>2</v>
      </c>
    </row>
    <row r="41" spans="1:31" ht="16" customHeight="1" x14ac:dyDescent="0.2">
      <c r="A41">
        <v>4.4000000000000004</v>
      </c>
      <c r="B41">
        <v>3</v>
      </c>
      <c r="C41">
        <v>1.3</v>
      </c>
      <c r="D41">
        <v>0.2</v>
      </c>
      <c r="E41">
        <v>1</v>
      </c>
      <c r="G41">
        <f t="shared" si="6"/>
        <v>-1.4433333333333334</v>
      </c>
      <c r="H41">
        <f t="shared" si="7"/>
        <v>-5.3999999999998938E-2</v>
      </c>
      <c r="I41">
        <f t="shared" si="8"/>
        <v>-2.4586666666666668</v>
      </c>
      <c r="J41">
        <f t="shared" si="9"/>
        <v>-0.99866666666666704</v>
      </c>
      <c r="AC41">
        <f t="shared" si="10"/>
        <v>-2.9818429437533336</v>
      </c>
      <c r="AD41">
        <f t="shared" si="11"/>
        <v>0.48025005260666587</v>
      </c>
      <c r="AE41">
        <v>1</v>
      </c>
    </row>
    <row r="42" spans="1:31" ht="16" customHeight="1" x14ac:dyDescent="0.2">
      <c r="A42">
        <v>5.9</v>
      </c>
      <c r="B42">
        <v>3</v>
      </c>
      <c r="C42">
        <v>5.0999999999999996</v>
      </c>
      <c r="D42">
        <v>1.8</v>
      </c>
      <c r="E42">
        <v>2</v>
      </c>
      <c r="G42">
        <f t="shared" si="6"/>
        <v>5.6666666666666643E-2</v>
      </c>
      <c r="H42">
        <f t="shared" si="7"/>
        <v>-5.3999999999998938E-2</v>
      </c>
      <c r="I42">
        <f t="shared" si="8"/>
        <v>1.3413333333333326</v>
      </c>
      <c r="J42">
        <f t="shared" si="9"/>
        <v>0.60133333333333305</v>
      </c>
      <c r="AC42">
        <f t="shared" si="10"/>
        <v>1.3896661522466658</v>
      </c>
      <c r="AD42">
        <f t="shared" si="11"/>
        <v>0.28288670460666576</v>
      </c>
      <c r="AE42">
        <v>2</v>
      </c>
    </row>
    <row r="43" spans="1:31" ht="16" customHeight="1" x14ac:dyDescent="0.2">
      <c r="A43">
        <v>5.7</v>
      </c>
      <c r="B43">
        <v>3</v>
      </c>
      <c r="C43">
        <v>4.2</v>
      </c>
      <c r="D43">
        <v>1.2</v>
      </c>
      <c r="E43">
        <v>3</v>
      </c>
      <c r="G43">
        <f t="shared" si="6"/>
        <v>-0.14333333333333353</v>
      </c>
      <c r="H43">
        <f t="shared" si="7"/>
        <v>-5.3999999999998938E-2</v>
      </c>
      <c r="I43">
        <f t="shared" si="8"/>
        <v>0.44133333333333313</v>
      </c>
      <c r="J43">
        <f t="shared" si="9"/>
        <v>1.3333333333329644E-3</v>
      </c>
      <c r="AC43">
        <f t="shared" si="10"/>
        <v>0.3311269232466662</v>
      </c>
      <c r="AD43">
        <f t="shared" si="11"/>
        <v>0.21118013860666596</v>
      </c>
      <c r="AE43">
        <v>3</v>
      </c>
    </row>
    <row r="44" spans="1:31" ht="16" customHeight="1" x14ac:dyDescent="0.2">
      <c r="A44">
        <v>4.4000000000000004</v>
      </c>
      <c r="B44">
        <v>3.2</v>
      </c>
      <c r="C44">
        <v>1.3</v>
      </c>
      <c r="D44">
        <v>0.2</v>
      </c>
      <c r="E44">
        <v>1</v>
      </c>
      <c r="G44">
        <f t="shared" si="6"/>
        <v>-1.4433333333333334</v>
      </c>
      <c r="H44">
        <f t="shared" si="7"/>
        <v>0.14600000000000124</v>
      </c>
      <c r="I44">
        <f t="shared" si="8"/>
        <v>-2.4586666666666668</v>
      </c>
      <c r="J44">
        <f t="shared" si="9"/>
        <v>-0.99866666666666704</v>
      </c>
      <c r="AC44">
        <f t="shared" si="10"/>
        <v>-2.9982967217533334</v>
      </c>
      <c r="AD44">
        <f t="shared" si="11"/>
        <v>0.33430757860666571</v>
      </c>
      <c r="AE44">
        <v>1</v>
      </c>
    </row>
    <row r="45" spans="1:31" ht="16" customHeight="1" x14ac:dyDescent="0.2">
      <c r="A45">
        <v>5.3</v>
      </c>
      <c r="B45">
        <v>3.7</v>
      </c>
      <c r="C45">
        <v>1.5</v>
      </c>
      <c r="D45">
        <v>0.2</v>
      </c>
      <c r="E45">
        <v>1</v>
      </c>
      <c r="G45">
        <f t="shared" si="6"/>
        <v>-0.54333333333333389</v>
      </c>
      <c r="H45">
        <f t="shared" si="7"/>
        <v>0.64600000000000124</v>
      </c>
      <c r="I45">
        <f t="shared" si="8"/>
        <v>-2.258666666666667</v>
      </c>
      <c r="J45">
        <f t="shared" si="9"/>
        <v>-0.99866666666666704</v>
      </c>
      <c r="AC45">
        <f t="shared" si="10"/>
        <v>-2.542685870753334</v>
      </c>
      <c r="AD45">
        <f t="shared" si="11"/>
        <v>-0.58628101839333402</v>
      </c>
      <c r="AE45">
        <v>1</v>
      </c>
    </row>
    <row r="46" spans="1:31" ht="16" customHeight="1" x14ac:dyDescent="0.2">
      <c r="A46">
        <v>5</v>
      </c>
      <c r="B46">
        <v>2.2999999999999998</v>
      </c>
      <c r="C46">
        <v>3.3</v>
      </c>
      <c r="D46">
        <v>1</v>
      </c>
      <c r="E46">
        <v>3</v>
      </c>
      <c r="G46">
        <f t="shared" si="6"/>
        <v>-0.84333333333333371</v>
      </c>
      <c r="H46">
        <f t="shared" si="7"/>
        <v>-0.75399999999999912</v>
      </c>
      <c r="I46">
        <f t="shared" si="8"/>
        <v>-0.45866666666666722</v>
      </c>
      <c r="J46">
        <f t="shared" si="9"/>
        <v>-0.19866666666666699</v>
      </c>
      <c r="AC46">
        <f t="shared" si="10"/>
        <v>-0.70708144075333412</v>
      </c>
      <c r="AD46">
        <f t="shared" si="11"/>
        <v>1.0084247596066662</v>
      </c>
      <c r="AE46">
        <v>3</v>
      </c>
    </row>
    <row r="47" spans="1:31" ht="16" customHeight="1" x14ac:dyDescent="0.2">
      <c r="A47">
        <v>4.5999999999999996</v>
      </c>
      <c r="B47">
        <v>3.1</v>
      </c>
      <c r="C47">
        <v>1.5</v>
      </c>
      <c r="D47">
        <v>0.2</v>
      </c>
      <c r="E47">
        <v>1</v>
      </c>
      <c r="G47">
        <f t="shared" si="6"/>
        <v>-1.2433333333333341</v>
      </c>
      <c r="H47">
        <f t="shared" si="7"/>
        <v>4.6000000000001151E-2</v>
      </c>
      <c r="I47">
        <f t="shared" si="8"/>
        <v>-2.258666666666667</v>
      </c>
      <c r="J47">
        <f t="shared" si="9"/>
        <v>-0.99866666666666704</v>
      </c>
      <c r="AC47">
        <f t="shared" si="10"/>
        <v>-2.7464374387533339</v>
      </c>
      <c r="AD47">
        <f t="shared" si="11"/>
        <v>0.3111243196066662</v>
      </c>
      <c r="AE47">
        <v>1</v>
      </c>
    </row>
    <row r="48" spans="1:31" ht="16" customHeight="1" x14ac:dyDescent="0.2">
      <c r="A48">
        <v>5.4</v>
      </c>
      <c r="B48">
        <v>3</v>
      </c>
      <c r="C48">
        <v>4.5</v>
      </c>
      <c r="D48">
        <v>1.5</v>
      </c>
      <c r="E48">
        <v>3</v>
      </c>
      <c r="G48">
        <f t="shared" si="6"/>
        <v>-0.44333333333333336</v>
      </c>
      <c r="H48">
        <f t="shared" si="7"/>
        <v>-5.3999999999998938E-2</v>
      </c>
      <c r="I48">
        <f t="shared" si="8"/>
        <v>0.74133333333333296</v>
      </c>
      <c r="J48">
        <f t="shared" si="9"/>
        <v>0.30133333333333301</v>
      </c>
      <c r="AC48">
        <f t="shared" si="10"/>
        <v>0.58727477724666621</v>
      </c>
      <c r="AD48">
        <f t="shared" si="11"/>
        <v>0.48328426360666582</v>
      </c>
      <c r="AE48">
        <v>3</v>
      </c>
    </row>
    <row r="49" spans="1:31" ht="16" customHeight="1" x14ac:dyDescent="0.2">
      <c r="A49">
        <v>5</v>
      </c>
      <c r="B49">
        <v>3</v>
      </c>
      <c r="C49">
        <v>1.6</v>
      </c>
      <c r="D49">
        <v>0.2</v>
      </c>
      <c r="E49">
        <v>1</v>
      </c>
      <c r="G49">
        <f t="shared" si="6"/>
        <v>-0.84333333333333371</v>
      </c>
      <c r="H49">
        <f t="shared" si="7"/>
        <v>-5.3999999999998938E-2</v>
      </c>
      <c r="I49">
        <f t="shared" si="8"/>
        <v>-2.158666666666667</v>
      </c>
      <c r="J49">
        <f t="shared" si="9"/>
        <v>-0.99866666666666704</v>
      </c>
      <c r="AC49">
        <f t="shared" si="10"/>
        <v>-2.5079173947533335</v>
      </c>
      <c r="AD49">
        <f t="shared" si="11"/>
        <v>0.13905634460666608</v>
      </c>
      <c r="AE49">
        <v>1</v>
      </c>
    </row>
    <row r="50" spans="1:31" ht="16" customHeight="1" x14ac:dyDescent="0.2">
      <c r="A50">
        <v>7.7</v>
      </c>
      <c r="B50">
        <v>2.8</v>
      </c>
      <c r="C50">
        <v>6.7</v>
      </c>
      <c r="D50">
        <v>2</v>
      </c>
      <c r="E50">
        <v>2</v>
      </c>
      <c r="G50">
        <f t="shared" si="6"/>
        <v>1.8566666666666665</v>
      </c>
      <c r="H50">
        <f t="shared" si="7"/>
        <v>-0.25399999999999912</v>
      </c>
      <c r="I50">
        <f t="shared" si="8"/>
        <v>2.9413333333333331</v>
      </c>
      <c r="J50">
        <f t="shared" si="9"/>
        <v>0.80133333333333301</v>
      </c>
      <c r="AC50">
        <f t="shared" si="10"/>
        <v>3.4992658402466663</v>
      </c>
      <c r="AD50">
        <f t="shared" si="11"/>
        <v>-0.45677347139333391</v>
      </c>
      <c r="AE50">
        <v>2</v>
      </c>
    </row>
    <row r="51" spans="1:31" ht="16" customHeight="1" x14ac:dyDescent="0.2">
      <c r="A51">
        <v>5.4</v>
      </c>
      <c r="B51">
        <v>3.7</v>
      </c>
      <c r="C51">
        <v>1.5</v>
      </c>
      <c r="D51">
        <v>0.2</v>
      </c>
      <c r="E51">
        <v>1</v>
      </c>
      <c r="G51">
        <f t="shared" si="6"/>
        <v>-0.44333333333333336</v>
      </c>
      <c r="H51">
        <f t="shared" si="7"/>
        <v>0.64600000000000124</v>
      </c>
      <c r="I51">
        <f t="shared" si="8"/>
        <v>-2.258666666666667</v>
      </c>
      <c r="J51">
        <f t="shared" si="9"/>
        <v>-0.99866666666666704</v>
      </c>
      <c r="AC51">
        <f t="shared" si="10"/>
        <v>-2.5065268847533337</v>
      </c>
      <c r="AD51">
        <f t="shared" si="11"/>
        <v>-0.65193500639333435</v>
      </c>
      <c r="AE51">
        <v>1</v>
      </c>
    </row>
    <row r="52" spans="1:31" ht="16" customHeight="1" x14ac:dyDescent="0.2">
      <c r="A52">
        <v>4.9000000000000004</v>
      </c>
      <c r="B52">
        <v>2.5</v>
      </c>
      <c r="C52">
        <v>4.5</v>
      </c>
      <c r="D52">
        <v>1.7</v>
      </c>
      <c r="E52">
        <v>3</v>
      </c>
      <c r="G52">
        <f t="shared" si="6"/>
        <v>-0.94333333333333336</v>
      </c>
      <c r="H52">
        <f t="shared" si="7"/>
        <v>-0.55399999999999894</v>
      </c>
      <c r="I52">
        <f t="shared" si="8"/>
        <v>0.74133333333333296</v>
      </c>
      <c r="J52">
        <f t="shared" si="9"/>
        <v>0.50133333333333296</v>
      </c>
      <c r="AC52">
        <f t="shared" si="10"/>
        <v>0.51938307824666619</v>
      </c>
      <c r="AD52">
        <f t="shared" si="11"/>
        <v>1.1913516826066657</v>
      </c>
      <c r="AE52">
        <v>3</v>
      </c>
    </row>
    <row r="53" spans="1:31" ht="16" customHeight="1" x14ac:dyDescent="0.2">
      <c r="A53">
        <v>4.9000000000000004</v>
      </c>
      <c r="B53">
        <v>3.1</v>
      </c>
      <c r="C53">
        <v>1.5</v>
      </c>
      <c r="D53">
        <v>0.1</v>
      </c>
      <c r="E53">
        <v>1</v>
      </c>
      <c r="G53">
        <f t="shared" si="6"/>
        <v>-0.94333333333333336</v>
      </c>
      <c r="H53">
        <f t="shared" si="7"/>
        <v>4.6000000000001151E-2</v>
      </c>
      <c r="I53">
        <f t="shared" si="8"/>
        <v>-2.258666666666667</v>
      </c>
      <c r="J53">
        <f t="shared" si="9"/>
        <v>-1.0986666666666669</v>
      </c>
      <c r="AC53">
        <f t="shared" si="10"/>
        <v>-2.6738448737533336</v>
      </c>
      <c r="AD53">
        <f t="shared" si="11"/>
        <v>0.10669170860666576</v>
      </c>
      <c r="AE53">
        <v>1</v>
      </c>
    </row>
    <row r="54" spans="1:31" ht="16" customHeight="1" x14ac:dyDescent="0.2">
      <c r="A54">
        <v>5.5</v>
      </c>
      <c r="B54">
        <v>2.5</v>
      </c>
      <c r="C54">
        <v>4</v>
      </c>
      <c r="D54">
        <v>1.3</v>
      </c>
      <c r="E54">
        <v>3</v>
      </c>
      <c r="G54">
        <f t="shared" si="6"/>
        <v>-0.34333333333333371</v>
      </c>
      <c r="H54">
        <f t="shared" si="7"/>
        <v>-0.55399999999999894</v>
      </c>
      <c r="I54">
        <f t="shared" si="8"/>
        <v>0.24133333333333296</v>
      </c>
      <c r="J54">
        <f t="shared" si="9"/>
        <v>0.10133333333333305</v>
      </c>
      <c r="AC54">
        <f t="shared" si="10"/>
        <v>0.16451336724666604</v>
      </c>
      <c r="AD54">
        <f t="shared" si="11"/>
        <v>0.67966146660666615</v>
      </c>
      <c r="AE54">
        <v>3</v>
      </c>
    </row>
    <row r="55" spans="1:31" ht="16" customHeight="1" x14ac:dyDescent="0.2">
      <c r="A55">
        <v>6.1</v>
      </c>
      <c r="B55">
        <v>2.8</v>
      </c>
      <c r="C55">
        <v>4</v>
      </c>
      <c r="D55">
        <v>1.3</v>
      </c>
      <c r="E55">
        <v>3</v>
      </c>
      <c r="G55">
        <f t="shared" si="6"/>
        <v>0.25666666666666593</v>
      </c>
      <c r="H55">
        <f t="shared" si="7"/>
        <v>-0.25399999999999912</v>
      </c>
      <c r="I55">
        <f t="shared" si="8"/>
        <v>0.24133333333333296</v>
      </c>
      <c r="J55">
        <f t="shared" si="9"/>
        <v>0.10133333333333305</v>
      </c>
      <c r="AC55">
        <f t="shared" si="10"/>
        <v>0.35678661624666591</v>
      </c>
      <c r="AD55">
        <f t="shared" si="11"/>
        <v>6.6823827606666414E-2</v>
      </c>
      <c r="AE55">
        <v>3</v>
      </c>
    </row>
    <row r="56" spans="1:31" ht="16" customHeight="1" x14ac:dyDescent="0.2">
      <c r="A56">
        <v>6.5</v>
      </c>
      <c r="B56">
        <v>2.8</v>
      </c>
      <c r="C56">
        <v>4.5999999999999996</v>
      </c>
      <c r="D56">
        <v>1.5</v>
      </c>
      <c r="E56">
        <v>3</v>
      </c>
      <c r="G56">
        <f t="shared" si="6"/>
        <v>0.65666666666666629</v>
      </c>
      <c r="H56">
        <f t="shared" si="7"/>
        <v>-0.25399999999999912</v>
      </c>
      <c r="I56">
        <f t="shared" si="8"/>
        <v>0.8413333333333326</v>
      </c>
      <c r="J56">
        <f t="shared" si="9"/>
        <v>0.30133333333333301</v>
      </c>
      <c r="AC56">
        <f t="shared" si="10"/>
        <v>1.0871346122466656</v>
      </c>
      <c r="AD56">
        <f t="shared" si="11"/>
        <v>-7.5390390393333881E-2</v>
      </c>
      <c r="AE56">
        <v>3</v>
      </c>
    </row>
    <row r="57" spans="1:31" ht="16" customHeight="1" x14ac:dyDescent="0.2">
      <c r="A57">
        <v>5.7</v>
      </c>
      <c r="B57">
        <v>2.8</v>
      </c>
      <c r="C57">
        <v>4.0999999999999996</v>
      </c>
      <c r="D57">
        <v>1.3</v>
      </c>
      <c r="E57">
        <v>3</v>
      </c>
      <c r="G57">
        <f t="shared" si="6"/>
        <v>-0.14333333333333353</v>
      </c>
      <c r="H57">
        <f t="shared" si="7"/>
        <v>-0.25399999999999912</v>
      </c>
      <c r="I57">
        <f t="shared" si="8"/>
        <v>0.3413333333333326</v>
      </c>
      <c r="J57">
        <f t="shared" si="9"/>
        <v>0.10133333333333305</v>
      </c>
      <c r="AC57">
        <f t="shared" si="10"/>
        <v>0.29780788324666579</v>
      </c>
      <c r="AD57">
        <f t="shared" si="11"/>
        <v>0.34701651960666596</v>
      </c>
      <c r="AE57">
        <v>3</v>
      </c>
    </row>
    <row r="58" spans="1:31" ht="16" customHeight="1" x14ac:dyDescent="0.2">
      <c r="A58">
        <v>5.2</v>
      </c>
      <c r="B58">
        <v>3.4</v>
      </c>
      <c r="C58">
        <v>1.4</v>
      </c>
      <c r="D58">
        <v>0.2</v>
      </c>
      <c r="E58">
        <v>1</v>
      </c>
      <c r="G58">
        <f t="shared" si="6"/>
        <v>-0.64333333333333353</v>
      </c>
      <c r="H58">
        <f t="shared" si="7"/>
        <v>0.34600000000000097</v>
      </c>
      <c r="I58">
        <f t="shared" si="8"/>
        <v>-2.3586666666666671</v>
      </c>
      <c r="J58">
        <f t="shared" si="9"/>
        <v>-0.99866666666666704</v>
      </c>
      <c r="AC58">
        <f t="shared" si="10"/>
        <v>-2.6398214007533336</v>
      </c>
      <c r="AD58">
        <f t="shared" si="11"/>
        <v>-0.3192900593933341</v>
      </c>
      <c r="AE58">
        <v>1</v>
      </c>
    </row>
    <row r="59" spans="1:31" ht="16" customHeight="1" x14ac:dyDescent="0.2">
      <c r="A59">
        <v>6.7</v>
      </c>
      <c r="B59">
        <v>3.3</v>
      </c>
      <c r="C59">
        <v>5.7</v>
      </c>
      <c r="D59">
        <v>2.5</v>
      </c>
      <c r="E59">
        <v>2</v>
      </c>
      <c r="G59">
        <f t="shared" si="6"/>
        <v>0.85666666666666647</v>
      </c>
      <c r="H59">
        <f t="shared" si="7"/>
        <v>0.24600000000000088</v>
      </c>
      <c r="I59">
        <f t="shared" si="8"/>
        <v>1.9413333333333331</v>
      </c>
      <c r="J59">
        <f t="shared" si="9"/>
        <v>1.301333333333333</v>
      </c>
      <c r="AC59">
        <f t="shared" si="10"/>
        <v>2.4193913902466662</v>
      </c>
      <c r="AD59">
        <f t="shared" si="11"/>
        <v>-0.30350394139333381</v>
      </c>
      <c r="AE59">
        <v>2</v>
      </c>
    </row>
    <row r="60" spans="1:31" ht="16" customHeight="1" x14ac:dyDescent="0.2">
      <c r="A60">
        <v>7.9</v>
      </c>
      <c r="B60">
        <v>3.8</v>
      </c>
      <c r="C60">
        <v>6.4</v>
      </c>
      <c r="D60">
        <v>2</v>
      </c>
      <c r="E60">
        <v>2</v>
      </c>
      <c r="G60">
        <f t="shared" si="6"/>
        <v>2.0566666666666666</v>
      </c>
      <c r="H60">
        <f t="shared" si="7"/>
        <v>0.74600000000000088</v>
      </c>
      <c r="I60">
        <f t="shared" si="8"/>
        <v>2.6413333333333333</v>
      </c>
      <c r="J60">
        <f t="shared" si="9"/>
        <v>0.80133333333333301</v>
      </c>
      <c r="AC60">
        <f t="shared" si="10"/>
        <v>3.2323432892466659</v>
      </c>
      <c r="AD60">
        <f t="shared" si="11"/>
        <v>-1.3705240373933338</v>
      </c>
      <c r="AE60">
        <v>2</v>
      </c>
    </row>
    <row r="61" spans="1:31" ht="16" customHeight="1" x14ac:dyDescent="0.2">
      <c r="A61">
        <v>6.5</v>
      </c>
      <c r="B61">
        <v>3</v>
      </c>
      <c r="C61">
        <v>5.2</v>
      </c>
      <c r="D61">
        <v>2</v>
      </c>
      <c r="E61">
        <v>2</v>
      </c>
      <c r="G61">
        <f t="shared" si="6"/>
        <v>0.65666666666666629</v>
      </c>
      <c r="H61">
        <f t="shared" si="7"/>
        <v>-5.3999999999998938E-2</v>
      </c>
      <c r="I61">
        <f t="shared" si="8"/>
        <v>1.4413333333333331</v>
      </c>
      <c r="J61">
        <f t="shared" si="9"/>
        <v>0.80133333333333301</v>
      </c>
      <c r="AC61">
        <f t="shared" si="10"/>
        <v>1.7640460652466661</v>
      </c>
      <c r="AD61">
        <f t="shared" si="11"/>
        <v>-7.8519189393333882E-2</v>
      </c>
      <c r="AE61">
        <v>2</v>
      </c>
    </row>
    <row r="62" spans="1:31" ht="16" customHeight="1" x14ac:dyDescent="0.2">
      <c r="A62">
        <v>5</v>
      </c>
      <c r="B62">
        <v>3.5</v>
      </c>
      <c r="C62">
        <v>1.3</v>
      </c>
      <c r="D62">
        <v>0.3</v>
      </c>
      <c r="E62">
        <v>1</v>
      </c>
      <c r="G62">
        <f t="shared" si="6"/>
        <v>-0.84333333333333371</v>
      </c>
      <c r="H62">
        <f t="shared" si="7"/>
        <v>0.44600000000000106</v>
      </c>
      <c r="I62">
        <f t="shared" si="8"/>
        <v>-2.4586666666666668</v>
      </c>
      <c r="J62">
        <f t="shared" si="9"/>
        <v>-0.89866666666666695</v>
      </c>
      <c r="AC62">
        <f t="shared" si="10"/>
        <v>-2.7701390797533336</v>
      </c>
      <c r="AD62">
        <f t="shared" si="11"/>
        <v>-0.27105941339333384</v>
      </c>
      <c r="AE62">
        <v>1</v>
      </c>
    </row>
    <row r="63" spans="1:31" ht="16" customHeight="1" x14ac:dyDescent="0.2">
      <c r="A63">
        <v>7.2</v>
      </c>
      <c r="B63">
        <v>3</v>
      </c>
      <c r="C63">
        <v>5.8</v>
      </c>
      <c r="D63">
        <v>1.6</v>
      </c>
      <c r="E63">
        <v>2</v>
      </c>
      <c r="G63">
        <f t="shared" si="6"/>
        <v>1.3566666666666665</v>
      </c>
      <c r="H63">
        <f t="shared" si="7"/>
        <v>-5.3999999999998938E-2</v>
      </c>
      <c r="I63">
        <f t="shared" si="8"/>
        <v>2.0413333333333328</v>
      </c>
      <c r="J63">
        <f t="shared" si="9"/>
        <v>0.4013333333333331</v>
      </c>
      <c r="AC63">
        <f t="shared" si="10"/>
        <v>2.3875646612466661</v>
      </c>
      <c r="AD63">
        <f t="shared" si="11"/>
        <v>-0.46251925339333405</v>
      </c>
      <c r="AE63">
        <v>2</v>
      </c>
    </row>
    <row r="64" spans="1:31" ht="16" customHeight="1" x14ac:dyDescent="0.2">
      <c r="A64">
        <v>5</v>
      </c>
      <c r="B64">
        <v>3.5</v>
      </c>
      <c r="C64">
        <v>1.6</v>
      </c>
      <c r="D64">
        <v>0.6</v>
      </c>
      <c r="E64">
        <v>1</v>
      </c>
      <c r="G64">
        <f t="shared" si="6"/>
        <v>-0.84333333333333371</v>
      </c>
      <c r="H64">
        <f t="shared" si="7"/>
        <v>0.44600000000000106</v>
      </c>
      <c r="I64">
        <f t="shared" si="8"/>
        <v>-2.158666666666667</v>
      </c>
      <c r="J64">
        <f t="shared" si="9"/>
        <v>-0.59866666666666701</v>
      </c>
      <c r="AC64">
        <f t="shared" si="10"/>
        <v>-2.4055142677533334</v>
      </c>
      <c r="AD64">
        <f t="shared" si="11"/>
        <v>-0.19591725239333385</v>
      </c>
      <c r="AE64">
        <v>1</v>
      </c>
    </row>
    <row r="65" spans="1:31" ht="16" customHeight="1" x14ac:dyDescent="0.2">
      <c r="A65">
        <v>6.2</v>
      </c>
      <c r="B65">
        <v>3.4</v>
      </c>
      <c r="C65">
        <v>5.4</v>
      </c>
      <c r="D65">
        <v>2.2999999999999998</v>
      </c>
      <c r="E65">
        <v>2</v>
      </c>
      <c r="G65">
        <f t="shared" si="6"/>
        <v>0.35666666666666647</v>
      </c>
      <c r="H65">
        <f t="shared" si="7"/>
        <v>0.34600000000000097</v>
      </c>
      <c r="I65">
        <f t="shared" si="8"/>
        <v>1.6413333333333333</v>
      </c>
      <c r="J65">
        <f t="shared" si="9"/>
        <v>1.1013333333333328</v>
      </c>
      <c r="AC65">
        <f t="shared" si="10"/>
        <v>1.9016291522466664</v>
      </c>
      <c r="AD65">
        <f t="shared" si="11"/>
        <v>-0.11587675239333398</v>
      </c>
      <c r="AE65">
        <v>2</v>
      </c>
    </row>
    <row r="66" spans="1:31" ht="16" customHeight="1" x14ac:dyDescent="0.2">
      <c r="A66">
        <v>4.9000000000000004</v>
      </c>
      <c r="B66">
        <v>3</v>
      </c>
      <c r="C66">
        <v>1.4</v>
      </c>
      <c r="D66">
        <v>0.2</v>
      </c>
      <c r="E66">
        <v>1</v>
      </c>
      <c r="G66">
        <f t="shared" ref="G66:G97" si="12">A66-$L$10</f>
        <v>-0.94333333333333336</v>
      </c>
      <c r="H66">
        <f t="shared" ref="H66:H97" si="13">B66-$M$10</f>
        <v>-5.3999999999998938E-2</v>
      </c>
      <c r="I66">
        <f t="shared" ref="I66:I97" si="14">C66-$N$10</f>
        <v>-2.3586666666666671</v>
      </c>
      <c r="J66">
        <f t="shared" ref="J66:J97" si="15">D66-$O$10</f>
        <v>-0.99866666666666704</v>
      </c>
      <c r="AC66">
        <f t="shared" ref="AC66:AC97" si="16">($X$5*G66)+($Y$5*H66)+($Z$5*I66)+($AA$5*J66)</f>
        <v>-2.7153908027533338</v>
      </c>
      <c r="AD66">
        <f t="shared" ref="AD66:AD97" si="17">($X$6*G66)+($Y$6*H66)+($Z$6*I66)+($AA$6*J66)</f>
        <v>0.16955685260666578</v>
      </c>
      <c r="AE66">
        <v>1</v>
      </c>
    </row>
    <row r="67" spans="1:31" ht="16" customHeight="1" x14ac:dyDescent="0.2">
      <c r="A67">
        <v>6.3</v>
      </c>
      <c r="B67">
        <v>3.3</v>
      </c>
      <c r="C67">
        <v>4.7</v>
      </c>
      <c r="D67">
        <v>1.6</v>
      </c>
      <c r="E67">
        <v>3</v>
      </c>
      <c r="G67">
        <f t="shared" si="12"/>
        <v>0.45666666666666611</v>
      </c>
      <c r="H67">
        <f t="shared" si="13"/>
        <v>0.24600000000000088</v>
      </c>
      <c r="I67">
        <f t="shared" si="14"/>
        <v>0.94133333333333313</v>
      </c>
      <c r="J67">
        <f t="shared" si="15"/>
        <v>0.4013333333333331</v>
      </c>
      <c r="AC67">
        <f t="shared" si="16"/>
        <v>1.095223799246666</v>
      </c>
      <c r="AD67">
        <f t="shared" si="17"/>
        <v>-0.2838912123933337</v>
      </c>
      <c r="AE67">
        <v>3</v>
      </c>
    </row>
    <row r="68" spans="1:31" ht="16" customHeight="1" x14ac:dyDescent="0.2">
      <c r="A68">
        <v>6.7</v>
      </c>
      <c r="B68">
        <v>3.1</v>
      </c>
      <c r="C68">
        <v>5.6</v>
      </c>
      <c r="D68">
        <v>2.4</v>
      </c>
      <c r="E68">
        <v>2</v>
      </c>
      <c r="G68">
        <f t="shared" si="12"/>
        <v>0.85666666666666647</v>
      </c>
      <c r="H68">
        <f t="shared" si="13"/>
        <v>4.6000000000001151E-2</v>
      </c>
      <c r="I68">
        <f t="shared" si="14"/>
        <v>1.8413333333333326</v>
      </c>
      <c r="J68">
        <f t="shared" si="15"/>
        <v>1.2013333333333329</v>
      </c>
      <c r="AC68">
        <f t="shared" si="16"/>
        <v>2.3143035642466656</v>
      </c>
      <c r="AD68">
        <f t="shared" si="17"/>
        <v>-0.18260885439333421</v>
      </c>
      <c r="AE68">
        <v>2</v>
      </c>
    </row>
    <row r="69" spans="1:31" ht="16" customHeight="1" x14ac:dyDescent="0.2">
      <c r="A69">
        <v>6.1</v>
      </c>
      <c r="B69">
        <v>3</v>
      </c>
      <c r="C69">
        <v>4.5999999999999996</v>
      </c>
      <c r="D69">
        <v>1.4</v>
      </c>
      <c r="E69">
        <v>3</v>
      </c>
      <c r="G69">
        <f t="shared" si="12"/>
        <v>0.25666666666666593</v>
      </c>
      <c r="H69">
        <f t="shared" si="13"/>
        <v>-5.3999999999998938E-2</v>
      </c>
      <c r="I69">
        <f t="shared" si="14"/>
        <v>0.8413333333333326</v>
      </c>
      <c r="J69">
        <f t="shared" si="15"/>
        <v>0.20133333333333292</v>
      </c>
      <c r="AC69">
        <f t="shared" si="16"/>
        <v>0.89016049724666557</v>
      </c>
      <c r="AD69">
        <f t="shared" si="17"/>
        <v>3.3812440606666223E-2</v>
      </c>
      <c r="AE69">
        <v>3</v>
      </c>
    </row>
    <row r="70" spans="1:31" ht="16" customHeight="1" x14ac:dyDescent="0.2">
      <c r="A70">
        <v>6.9</v>
      </c>
      <c r="B70">
        <v>3.1</v>
      </c>
      <c r="C70">
        <v>5.4</v>
      </c>
      <c r="D70">
        <v>2.1</v>
      </c>
      <c r="E70">
        <v>2</v>
      </c>
      <c r="G70">
        <f t="shared" si="12"/>
        <v>1.0566666666666666</v>
      </c>
      <c r="H70">
        <f t="shared" si="13"/>
        <v>4.6000000000001151E-2</v>
      </c>
      <c r="I70">
        <f t="shared" si="14"/>
        <v>1.6413333333333333</v>
      </c>
      <c r="J70">
        <f t="shared" si="15"/>
        <v>0.9013333333333331</v>
      </c>
      <c r="AC70">
        <f t="shared" si="16"/>
        <v>2.1076539352466663</v>
      </c>
      <c r="AD70">
        <f t="shared" si="17"/>
        <v>-0.37148225139333413</v>
      </c>
      <c r="AE70">
        <v>2</v>
      </c>
    </row>
    <row r="71" spans="1:31" ht="16" customHeight="1" x14ac:dyDescent="0.2">
      <c r="A71">
        <v>5.8</v>
      </c>
      <c r="B71">
        <v>2.7</v>
      </c>
      <c r="C71">
        <v>5.0999999999999996</v>
      </c>
      <c r="D71">
        <v>1.9</v>
      </c>
      <c r="E71">
        <v>2</v>
      </c>
      <c r="G71">
        <f t="shared" si="12"/>
        <v>-4.333333333333389E-2</v>
      </c>
      <c r="H71">
        <f t="shared" si="13"/>
        <v>-0.35399999999999876</v>
      </c>
      <c r="I71">
        <f t="shared" si="14"/>
        <v>1.3413333333333326</v>
      </c>
      <c r="J71">
        <f t="shared" si="15"/>
        <v>0.70133333333333292</v>
      </c>
      <c r="AC71">
        <f t="shared" si="16"/>
        <v>1.4140722262466654</v>
      </c>
      <c r="AD71">
        <f t="shared" si="17"/>
        <v>0.57492505060666599</v>
      </c>
      <c r="AE71">
        <v>2</v>
      </c>
    </row>
    <row r="72" spans="1:31" ht="16" customHeight="1" x14ac:dyDescent="0.2">
      <c r="A72">
        <v>4.5</v>
      </c>
      <c r="B72">
        <v>2.2999999999999998</v>
      </c>
      <c r="C72">
        <v>1.3</v>
      </c>
      <c r="D72">
        <v>0.3</v>
      </c>
      <c r="E72">
        <v>1</v>
      </c>
      <c r="G72">
        <f t="shared" si="12"/>
        <v>-1.3433333333333337</v>
      </c>
      <c r="H72">
        <f t="shared" si="13"/>
        <v>-0.75399999999999912</v>
      </c>
      <c r="I72">
        <f t="shared" si="14"/>
        <v>-2.4586666666666668</v>
      </c>
      <c r="J72">
        <f t="shared" si="15"/>
        <v>-0.89866666666666695</v>
      </c>
      <c r="AC72">
        <f t="shared" si="16"/>
        <v>-2.8522113417533337</v>
      </c>
      <c r="AD72">
        <f t="shared" si="17"/>
        <v>0.9328653706066663</v>
      </c>
      <c r="AE72">
        <v>1</v>
      </c>
    </row>
    <row r="73" spans="1:31" ht="16" customHeight="1" x14ac:dyDescent="0.2">
      <c r="A73">
        <v>6.1</v>
      </c>
      <c r="B73">
        <v>2.9</v>
      </c>
      <c r="C73">
        <v>4.7</v>
      </c>
      <c r="D73">
        <v>1.4</v>
      </c>
      <c r="E73">
        <v>3</v>
      </c>
      <c r="G73">
        <f t="shared" si="12"/>
        <v>0.25666666666666593</v>
      </c>
      <c r="H73">
        <f t="shared" si="13"/>
        <v>-0.15399999999999903</v>
      </c>
      <c r="I73">
        <f t="shared" si="14"/>
        <v>0.94133333333333313</v>
      </c>
      <c r="J73">
        <f t="shared" si="15"/>
        <v>0.20133333333333292</v>
      </c>
      <c r="AC73">
        <f t="shared" si="16"/>
        <v>0.98404459724666604</v>
      </c>
      <c r="AD73">
        <f t="shared" si="17"/>
        <v>0.12436041760666637</v>
      </c>
      <c r="AE73">
        <v>3</v>
      </c>
    </row>
    <row r="74" spans="1:31" ht="16" customHeight="1" x14ac:dyDescent="0.2">
      <c r="A74">
        <v>6.3</v>
      </c>
      <c r="B74">
        <v>2.5</v>
      </c>
      <c r="C74">
        <v>4.9000000000000004</v>
      </c>
      <c r="D74">
        <v>1.5</v>
      </c>
      <c r="E74">
        <v>3</v>
      </c>
      <c r="G74">
        <f t="shared" si="12"/>
        <v>0.45666666666666611</v>
      </c>
      <c r="H74">
        <f t="shared" si="13"/>
        <v>-0.55399999999999894</v>
      </c>
      <c r="I74">
        <f t="shared" si="14"/>
        <v>1.1413333333333333</v>
      </c>
      <c r="J74">
        <f t="shared" si="15"/>
        <v>0.30133333333333301</v>
      </c>
      <c r="AC74">
        <f t="shared" si="16"/>
        <v>1.2964689402466663</v>
      </c>
      <c r="AD74">
        <f t="shared" si="17"/>
        <v>0.32756151660666621</v>
      </c>
      <c r="AE74">
        <v>3</v>
      </c>
    </row>
    <row r="75" spans="1:31" ht="16" customHeight="1" x14ac:dyDescent="0.2">
      <c r="A75">
        <v>6.3</v>
      </c>
      <c r="B75">
        <v>2.8</v>
      </c>
      <c r="C75">
        <v>5.0999999999999996</v>
      </c>
      <c r="D75">
        <v>1.5</v>
      </c>
      <c r="E75">
        <v>2</v>
      </c>
      <c r="G75">
        <f t="shared" si="12"/>
        <v>0.45666666666666611</v>
      </c>
      <c r="H75">
        <f t="shared" si="13"/>
        <v>-0.25399999999999912</v>
      </c>
      <c r="I75">
        <f t="shared" si="14"/>
        <v>1.3413333333333326</v>
      </c>
      <c r="J75">
        <f t="shared" si="15"/>
        <v>0.30133333333333301</v>
      </c>
      <c r="AC75">
        <f t="shared" si="16"/>
        <v>1.4431026952466657</v>
      </c>
      <c r="AD75">
        <f t="shared" si="17"/>
        <v>0.14380128560666622</v>
      </c>
      <c r="AE75">
        <v>2</v>
      </c>
    </row>
    <row r="76" spans="1:31" ht="16" customHeight="1" x14ac:dyDescent="0.2">
      <c r="A76">
        <v>5</v>
      </c>
      <c r="B76">
        <v>2</v>
      </c>
      <c r="C76">
        <v>3.5</v>
      </c>
      <c r="D76">
        <v>1</v>
      </c>
      <c r="E76">
        <v>3</v>
      </c>
      <c r="G76">
        <f t="shared" si="12"/>
        <v>-0.84333333333333371</v>
      </c>
      <c r="H76">
        <f t="shared" si="13"/>
        <v>-1.0539999999999989</v>
      </c>
      <c r="I76">
        <f t="shared" si="14"/>
        <v>-0.25866666666666704</v>
      </c>
      <c r="J76">
        <f t="shared" si="15"/>
        <v>-0.19866666666666699</v>
      </c>
      <c r="AC76">
        <f t="shared" si="16"/>
        <v>-0.51108635175333395</v>
      </c>
      <c r="AD76">
        <f t="shared" si="17"/>
        <v>1.2624919506066661</v>
      </c>
      <c r="AE76">
        <v>3</v>
      </c>
    </row>
    <row r="77" spans="1:31" ht="16" customHeight="1" x14ac:dyDescent="0.2">
      <c r="A77">
        <v>5.8</v>
      </c>
      <c r="B77">
        <v>2.7</v>
      </c>
      <c r="C77">
        <v>5.0999999999999996</v>
      </c>
      <c r="D77">
        <v>1.9</v>
      </c>
      <c r="E77">
        <v>2</v>
      </c>
      <c r="G77">
        <f t="shared" si="12"/>
        <v>-4.333333333333389E-2</v>
      </c>
      <c r="H77">
        <f t="shared" si="13"/>
        <v>-0.35399999999999876</v>
      </c>
      <c r="I77">
        <f t="shared" si="14"/>
        <v>1.3413333333333326</v>
      </c>
      <c r="J77">
        <f t="shared" si="15"/>
        <v>0.70133333333333292</v>
      </c>
      <c r="AC77">
        <f t="shared" si="16"/>
        <v>1.4140722262466654</v>
      </c>
      <c r="AD77">
        <f t="shared" si="17"/>
        <v>0.57492505060666599</v>
      </c>
      <c r="AE77">
        <v>2</v>
      </c>
    </row>
    <row r="78" spans="1:31" ht="16" customHeight="1" x14ac:dyDescent="0.2">
      <c r="A78">
        <v>6.1</v>
      </c>
      <c r="B78">
        <v>2.8</v>
      </c>
      <c r="C78">
        <v>4.7</v>
      </c>
      <c r="D78">
        <v>1.2</v>
      </c>
      <c r="E78">
        <v>3</v>
      </c>
      <c r="G78">
        <f t="shared" si="12"/>
        <v>0.25666666666666593</v>
      </c>
      <c r="H78">
        <f t="shared" si="13"/>
        <v>-0.25399999999999912</v>
      </c>
      <c r="I78">
        <f t="shared" si="14"/>
        <v>0.94133333333333313</v>
      </c>
      <c r="J78">
        <f t="shared" si="15"/>
        <v>1.3333333333329644E-3</v>
      </c>
      <c r="AC78">
        <f t="shared" si="16"/>
        <v>0.92050270024666603</v>
      </c>
      <c r="AD78">
        <f t="shared" si="17"/>
        <v>0.18239036060666644</v>
      </c>
      <c r="AE78">
        <v>3</v>
      </c>
    </row>
    <row r="79" spans="1:31" ht="16" customHeight="1" x14ac:dyDescent="0.2">
      <c r="A79">
        <v>5.7</v>
      </c>
      <c r="B79">
        <v>2.8</v>
      </c>
      <c r="C79">
        <v>4.5</v>
      </c>
      <c r="D79">
        <v>1.3</v>
      </c>
      <c r="E79">
        <v>3</v>
      </c>
      <c r="G79">
        <f t="shared" si="12"/>
        <v>-0.14333333333333353</v>
      </c>
      <c r="H79">
        <f t="shared" si="13"/>
        <v>-0.25399999999999912</v>
      </c>
      <c r="I79">
        <f t="shared" si="14"/>
        <v>0.74133333333333296</v>
      </c>
      <c r="J79">
        <f t="shared" si="15"/>
        <v>0.10133333333333305</v>
      </c>
      <c r="AC79">
        <f t="shared" si="16"/>
        <v>0.64043672724666612</v>
      </c>
      <c r="AD79">
        <f t="shared" si="17"/>
        <v>0.41732347960666599</v>
      </c>
      <c r="AE79">
        <v>3</v>
      </c>
    </row>
    <row r="80" spans="1:31" ht="16" customHeight="1" x14ac:dyDescent="0.2">
      <c r="A80">
        <v>5</v>
      </c>
      <c r="B80">
        <v>3.6</v>
      </c>
      <c r="C80">
        <v>1.4</v>
      </c>
      <c r="D80">
        <v>0.2</v>
      </c>
      <c r="E80">
        <v>1</v>
      </c>
      <c r="G80">
        <f t="shared" si="12"/>
        <v>-0.84333333333333371</v>
      </c>
      <c r="H80">
        <f t="shared" si="13"/>
        <v>0.54600000000000115</v>
      </c>
      <c r="I80">
        <f t="shared" si="14"/>
        <v>-2.3586666666666671</v>
      </c>
      <c r="J80">
        <f t="shared" si="15"/>
        <v>-0.99866666666666704</v>
      </c>
      <c r="AC80">
        <f t="shared" si="16"/>
        <v>-2.7285931507533339</v>
      </c>
      <c r="AD80">
        <f t="shared" si="17"/>
        <v>-0.33392455739333404</v>
      </c>
      <c r="AE80">
        <v>1</v>
      </c>
    </row>
    <row r="81" spans="1:31" ht="16" customHeight="1" x14ac:dyDescent="0.2">
      <c r="A81">
        <v>6.5</v>
      </c>
      <c r="B81">
        <v>3</v>
      </c>
      <c r="C81">
        <v>5.8</v>
      </c>
      <c r="D81">
        <v>2.2000000000000002</v>
      </c>
      <c r="E81">
        <v>2</v>
      </c>
      <c r="G81">
        <f t="shared" si="12"/>
        <v>0.65666666666666629</v>
      </c>
      <c r="H81">
        <f t="shared" si="13"/>
        <v>-5.3999999999998938E-2</v>
      </c>
      <c r="I81">
        <f t="shared" si="14"/>
        <v>2.0413333333333328</v>
      </c>
      <c r="J81">
        <f t="shared" si="15"/>
        <v>1.0013333333333332</v>
      </c>
      <c r="AC81">
        <f t="shared" si="16"/>
        <v>2.3497581172466662</v>
      </c>
      <c r="AD81">
        <f t="shared" si="17"/>
        <v>4.1882544606666058E-2</v>
      </c>
      <c r="AE81">
        <v>2</v>
      </c>
    </row>
    <row r="82" spans="1:31" ht="16" customHeight="1" x14ac:dyDescent="0.2">
      <c r="A82">
        <v>5.7</v>
      </c>
      <c r="B82">
        <v>2.6</v>
      </c>
      <c r="C82">
        <v>3.5</v>
      </c>
      <c r="D82">
        <v>1</v>
      </c>
      <c r="E82">
        <v>3</v>
      </c>
      <c r="G82">
        <f t="shared" si="12"/>
        <v>-0.14333333333333353</v>
      </c>
      <c r="H82">
        <f t="shared" si="13"/>
        <v>-0.45399999999999885</v>
      </c>
      <c r="I82">
        <f t="shared" si="14"/>
        <v>-0.25866666666666704</v>
      </c>
      <c r="J82">
        <f t="shared" si="15"/>
        <v>-0.19866666666666699</v>
      </c>
      <c r="AC82">
        <f t="shared" si="16"/>
        <v>-0.3073347837533339</v>
      </c>
      <c r="AD82">
        <f t="shared" si="17"/>
        <v>0.36508661260666586</v>
      </c>
      <c r="AE82">
        <v>3</v>
      </c>
    </row>
    <row r="83" spans="1:31" ht="16" customHeight="1" x14ac:dyDescent="0.2">
      <c r="A83">
        <v>6</v>
      </c>
      <c r="B83">
        <v>2.2000000000000002</v>
      </c>
      <c r="C83">
        <v>4</v>
      </c>
      <c r="D83">
        <v>1</v>
      </c>
      <c r="E83">
        <v>3</v>
      </c>
      <c r="G83">
        <f t="shared" si="12"/>
        <v>0.15666666666666629</v>
      </c>
      <c r="H83">
        <f t="shared" si="13"/>
        <v>-0.85399999999999876</v>
      </c>
      <c r="I83">
        <f t="shared" si="14"/>
        <v>0.24133333333333296</v>
      </c>
      <c r="J83">
        <f t="shared" si="15"/>
        <v>-0.19866666666666699</v>
      </c>
      <c r="AC83">
        <f t="shared" si="16"/>
        <v>0.26233578524666601</v>
      </c>
      <c r="AD83">
        <f t="shared" si="17"/>
        <v>0.54789329660666608</v>
      </c>
      <c r="AE83">
        <v>3</v>
      </c>
    </row>
    <row r="84" spans="1:31" ht="16" customHeight="1" x14ac:dyDescent="0.2">
      <c r="A84">
        <v>5.0999999999999996</v>
      </c>
      <c r="B84">
        <v>3.3</v>
      </c>
      <c r="C84">
        <v>1.7</v>
      </c>
      <c r="D84">
        <v>0.5</v>
      </c>
      <c r="E84">
        <v>1</v>
      </c>
      <c r="G84">
        <f t="shared" si="12"/>
        <v>-0.74333333333333407</v>
      </c>
      <c r="H84">
        <f t="shared" si="13"/>
        <v>0.24600000000000088</v>
      </c>
      <c r="I84">
        <f t="shared" si="14"/>
        <v>-2.0586666666666673</v>
      </c>
      <c r="J84">
        <f t="shared" si="15"/>
        <v>-0.69866666666666699</v>
      </c>
      <c r="AC84">
        <f t="shared" si="16"/>
        <v>-2.3031286857533346</v>
      </c>
      <c r="AD84">
        <f t="shared" si="17"/>
        <v>-0.10552267339333367</v>
      </c>
      <c r="AE84">
        <v>1</v>
      </c>
    </row>
    <row r="85" spans="1:31" ht="16" customHeight="1" x14ac:dyDescent="0.2">
      <c r="A85">
        <v>4.8</v>
      </c>
      <c r="B85">
        <v>3.4</v>
      </c>
      <c r="C85">
        <v>1.6</v>
      </c>
      <c r="D85">
        <v>0.2</v>
      </c>
      <c r="E85">
        <v>1</v>
      </c>
      <c r="G85">
        <f t="shared" si="12"/>
        <v>-1.0433333333333339</v>
      </c>
      <c r="H85">
        <f t="shared" si="13"/>
        <v>0.34600000000000097</v>
      </c>
      <c r="I85">
        <f t="shared" si="14"/>
        <v>-2.158666666666667</v>
      </c>
      <c r="J85">
        <f t="shared" si="15"/>
        <v>-0.99866666666666704</v>
      </c>
      <c r="AC85">
        <f t="shared" si="16"/>
        <v>-2.6131429227533336</v>
      </c>
      <c r="AD85">
        <f t="shared" si="17"/>
        <v>-2.1520627393333741E-2</v>
      </c>
      <c r="AE85">
        <v>1</v>
      </c>
    </row>
    <row r="86" spans="1:31" ht="16" customHeight="1" x14ac:dyDescent="0.2">
      <c r="A86">
        <v>6.4</v>
      </c>
      <c r="B86">
        <v>2.8</v>
      </c>
      <c r="C86">
        <v>5.6</v>
      </c>
      <c r="D86">
        <v>2.2000000000000002</v>
      </c>
      <c r="E86">
        <v>2</v>
      </c>
      <c r="G86">
        <f t="shared" si="12"/>
        <v>0.55666666666666664</v>
      </c>
      <c r="H86">
        <f t="shared" si="13"/>
        <v>-0.25399999999999912</v>
      </c>
      <c r="I86">
        <f t="shared" si="14"/>
        <v>1.8413333333333326</v>
      </c>
      <c r="J86">
        <f t="shared" si="15"/>
        <v>1.0013333333333332</v>
      </c>
      <c r="AC86">
        <f t="shared" si="16"/>
        <v>2.1587384872466657</v>
      </c>
      <c r="AD86">
        <f t="shared" si="17"/>
        <v>0.21832552660666588</v>
      </c>
      <c r="AE86">
        <v>2</v>
      </c>
    </row>
    <row r="87" spans="1:31" ht="16" customHeight="1" x14ac:dyDescent="0.2">
      <c r="A87">
        <v>5.4</v>
      </c>
      <c r="B87">
        <v>3.9</v>
      </c>
      <c r="C87">
        <v>1.3</v>
      </c>
      <c r="D87">
        <v>0.4</v>
      </c>
      <c r="E87">
        <v>1</v>
      </c>
      <c r="G87">
        <f t="shared" si="12"/>
        <v>-0.44333333333333336</v>
      </c>
      <c r="H87">
        <f t="shared" si="13"/>
        <v>0.84600000000000097</v>
      </c>
      <c r="I87">
        <f t="shared" si="14"/>
        <v>-2.4586666666666668</v>
      </c>
      <c r="J87">
        <f t="shared" si="15"/>
        <v>-0.79866666666666697</v>
      </c>
      <c r="AC87">
        <f t="shared" si="16"/>
        <v>-2.6225262987533338</v>
      </c>
      <c r="AD87">
        <f t="shared" si="17"/>
        <v>-0.81808966639333414</v>
      </c>
      <c r="AE87">
        <v>1</v>
      </c>
    </row>
    <row r="88" spans="1:31" ht="16" customHeight="1" x14ac:dyDescent="0.2">
      <c r="A88">
        <v>6</v>
      </c>
      <c r="B88">
        <v>3.4</v>
      </c>
      <c r="C88">
        <v>4.5</v>
      </c>
      <c r="D88">
        <v>1.6</v>
      </c>
      <c r="E88">
        <v>3</v>
      </c>
      <c r="G88">
        <f t="shared" si="12"/>
        <v>0.15666666666666629</v>
      </c>
      <c r="H88">
        <f t="shared" si="13"/>
        <v>0.34600000000000097</v>
      </c>
      <c r="I88">
        <f t="shared" si="14"/>
        <v>0.74133333333333296</v>
      </c>
      <c r="J88">
        <f t="shared" si="15"/>
        <v>0.4013333333333331</v>
      </c>
      <c r="AC88">
        <f t="shared" si="16"/>
        <v>0.80720553024666608</v>
      </c>
      <c r="AD88">
        <f t="shared" si="17"/>
        <v>-0.19505396539333392</v>
      </c>
      <c r="AE88">
        <v>3</v>
      </c>
    </row>
    <row r="89" spans="1:31" ht="16" customHeight="1" x14ac:dyDescent="0.2">
      <c r="A89">
        <v>6.7</v>
      </c>
      <c r="B89">
        <v>3</v>
      </c>
      <c r="C89">
        <v>5</v>
      </c>
      <c r="D89">
        <v>1.7</v>
      </c>
      <c r="E89">
        <v>2</v>
      </c>
      <c r="G89">
        <f t="shared" si="12"/>
        <v>0.85666666666666647</v>
      </c>
      <c r="H89">
        <f t="shared" si="13"/>
        <v>-5.3999999999998938E-2</v>
      </c>
      <c r="I89">
        <f t="shared" si="14"/>
        <v>1.241333333333333</v>
      </c>
      <c r="J89">
        <f t="shared" si="15"/>
        <v>0.50133333333333296</v>
      </c>
      <c r="AC89">
        <f t="shared" si="16"/>
        <v>1.5573964362466661</v>
      </c>
      <c r="AD89">
        <f t="shared" si="17"/>
        <v>-0.26739258639333402</v>
      </c>
      <c r="AE89">
        <v>2</v>
      </c>
    </row>
    <row r="90" spans="1:31" ht="16" customHeight="1" x14ac:dyDescent="0.2">
      <c r="A90">
        <v>6.2</v>
      </c>
      <c r="B90">
        <v>2.9</v>
      </c>
      <c r="C90">
        <v>4.3</v>
      </c>
      <c r="D90">
        <v>1.3</v>
      </c>
      <c r="E90">
        <v>3</v>
      </c>
      <c r="G90">
        <f t="shared" si="12"/>
        <v>0.35666666666666647</v>
      </c>
      <c r="H90">
        <f t="shared" si="13"/>
        <v>-0.15399999999999903</v>
      </c>
      <c r="I90">
        <f t="shared" si="14"/>
        <v>0.54133333333333278</v>
      </c>
      <c r="J90">
        <f t="shared" si="15"/>
        <v>0.10133333333333305</v>
      </c>
      <c r="AC90">
        <f t="shared" si="16"/>
        <v>0.64169034624666588</v>
      </c>
      <c r="AD90">
        <f t="shared" si="17"/>
        <v>-1.9071177393334041E-2</v>
      </c>
      <c r="AE90">
        <v>3</v>
      </c>
    </row>
    <row r="91" spans="1:31" ht="16" customHeight="1" x14ac:dyDescent="0.2">
      <c r="A91">
        <v>5.2</v>
      </c>
      <c r="B91">
        <v>3.5</v>
      </c>
      <c r="C91">
        <v>1.5</v>
      </c>
      <c r="D91">
        <v>0.2</v>
      </c>
      <c r="E91">
        <v>1</v>
      </c>
      <c r="G91">
        <f t="shared" si="12"/>
        <v>-0.64333333333333353</v>
      </c>
      <c r="H91">
        <f t="shared" si="13"/>
        <v>0.44600000000000106</v>
      </c>
      <c r="I91">
        <f t="shared" si="14"/>
        <v>-2.258666666666667</v>
      </c>
      <c r="J91">
        <f t="shared" si="15"/>
        <v>-0.99866666666666704</v>
      </c>
      <c r="AC91">
        <f t="shared" si="16"/>
        <v>-2.5623910787533339</v>
      </c>
      <c r="AD91">
        <f t="shared" si="17"/>
        <v>-0.37468455639333409</v>
      </c>
      <c r="AE91">
        <v>1</v>
      </c>
    </row>
    <row r="92" spans="1:31" ht="16" customHeight="1" x14ac:dyDescent="0.2">
      <c r="A92">
        <v>5.9</v>
      </c>
      <c r="B92">
        <v>3.2</v>
      </c>
      <c r="C92">
        <v>4.8</v>
      </c>
      <c r="D92">
        <v>1.8</v>
      </c>
      <c r="E92">
        <v>3</v>
      </c>
      <c r="G92">
        <f t="shared" si="12"/>
        <v>5.6666666666666643E-2</v>
      </c>
      <c r="H92">
        <f t="shared" si="13"/>
        <v>0.14600000000000124</v>
      </c>
      <c r="I92">
        <f t="shared" si="14"/>
        <v>1.0413333333333328</v>
      </c>
      <c r="J92">
        <f t="shared" si="15"/>
        <v>0.60133333333333305</v>
      </c>
      <c r="AC92">
        <f t="shared" si="16"/>
        <v>1.1162407412466659</v>
      </c>
      <c r="AD92">
        <f t="shared" si="17"/>
        <v>8.421401060666564E-2</v>
      </c>
      <c r="AE92">
        <v>3</v>
      </c>
    </row>
    <row r="93" spans="1:31" ht="16" customHeight="1" x14ac:dyDescent="0.2">
      <c r="A93">
        <v>5.4</v>
      </c>
      <c r="B93">
        <v>3.4</v>
      </c>
      <c r="C93">
        <v>1.7</v>
      </c>
      <c r="D93">
        <v>0.2</v>
      </c>
      <c r="E93">
        <v>1</v>
      </c>
      <c r="G93">
        <f t="shared" si="12"/>
        <v>-0.44333333333333336</v>
      </c>
      <c r="H93">
        <f t="shared" si="13"/>
        <v>0.34600000000000097</v>
      </c>
      <c r="I93">
        <f t="shared" si="14"/>
        <v>-2.0586666666666673</v>
      </c>
      <c r="J93">
        <f t="shared" si="15"/>
        <v>-0.99866666666666704</v>
      </c>
      <c r="AC93">
        <f t="shared" si="16"/>
        <v>-2.310531795753334</v>
      </c>
      <c r="AD93">
        <f t="shared" si="17"/>
        <v>-0.39786781539333416</v>
      </c>
      <c r="AE93">
        <v>1</v>
      </c>
    </row>
    <row r="94" spans="1:31" ht="16" customHeight="1" x14ac:dyDescent="0.2">
      <c r="A94">
        <v>7.7</v>
      </c>
      <c r="B94">
        <v>3.8</v>
      </c>
      <c r="C94">
        <v>6.7</v>
      </c>
      <c r="D94">
        <v>2.2000000000000002</v>
      </c>
      <c r="E94">
        <v>2</v>
      </c>
      <c r="G94">
        <f t="shared" si="12"/>
        <v>1.8566666666666665</v>
      </c>
      <c r="H94">
        <f t="shared" si="13"/>
        <v>0.74600000000000088</v>
      </c>
      <c r="I94">
        <f t="shared" si="14"/>
        <v>2.9413333333333331</v>
      </c>
      <c r="J94">
        <f t="shared" si="15"/>
        <v>1.0013333333333332</v>
      </c>
      <c r="AC94">
        <f t="shared" si="16"/>
        <v>3.4887657362466662</v>
      </c>
      <c r="AD94">
        <f t="shared" si="17"/>
        <v>-1.1715445473933337</v>
      </c>
      <c r="AE94">
        <v>2</v>
      </c>
    </row>
    <row r="95" spans="1:31" ht="16" customHeight="1" x14ac:dyDescent="0.2">
      <c r="A95">
        <v>6.3</v>
      </c>
      <c r="B95">
        <v>2.2999999999999998</v>
      </c>
      <c r="C95">
        <v>4.4000000000000004</v>
      </c>
      <c r="D95">
        <v>1.3</v>
      </c>
      <c r="E95">
        <v>3</v>
      </c>
      <c r="G95">
        <f t="shared" si="12"/>
        <v>0.45666666666666611</v>
      </c>
      <c r="H95">
        <f t="shared" si="13"/>
        <v>-0.75399999999999912</v>
      </c>
      <c r="I95">
        <f t="shared" si="14"/>
        <v>0.64133333333333331</v>
      </c>
      <c r="J95">
        <f t="shared" si="15"/>
        <v>0.10133333333333305</v>
      </c>
      <c r="AC95">
        <f t="shared" si="16"/>
        <v>0.8128678772466662</v>
      </c>
      <c r="AD95">
        <f t="shared" si="17"/>
        <v>0.37067899660666637</v>
      </c>
      <c r="AE95">
        <v>3</v>
      </c>
    </row>
    <row r="96" spans="1:31" ht="16" customHeight="1" x14ac:dyDescent="0.2">
      <c r="A96">
        <v>5.0999999999999996</v>
      </c>
      <c r="B96">
        <v>3.4</v>
      </c>
      <c r="C96">
        <v>1.5</v>
      </c>
      <c r="D96">
        <v>0.2</v>
      </c>
      <c r="E96">
        <v>1</v>
      </c>
      <c r="G96">
        <f t="shared" si="12"/>
        <v>-0.74333333333333407</v>
      </c>
      <c r="H96">
        <f t="shared" si="13"/>
        <v>0.34600000000000097</v>
      </c>
      <c r="I96">
        <f t="shared" si="14"/>
        <v>-2.258666666666667</v>
      </c>
      <c r="J96">
        <f t="shared" si="15"/>
        <v>-0.99866666666666704</v>
      </c>
      <c r="AC96">
        <f t="shared" si="16"/>
        <v>-2.5903231757533343</v>
      </c>
      <c r="AD96">
        <f t="shared" si="17"/>
        <v>-0.23605933139333371</v>
      </c>
      <c r="AE96">
        <v>1</v>
      </c>
    </row>
    <row r="97" spans="1:31" ht="16" customHeight="1" x14ac:dyDescent="0.2">
      <c r="A97">
        <v>5.9</v>
      </c>
      <c r="B97">
        <v>3</v>
      </c>
      <c r="C97">
        <v>4.2</v>
      </c>
      <c r="D97">
        <v>1.5</v>
      </c>
      <c r="E97">
        <v>3</v>
      </c>
      <c r="G97">
        <f t="shared" si="12"/>
        <v>5.6666666666666643E-2</v>
      </c>
      <c r="H97">
        <f t="shared" si="13"/>
        <v>-5.3999999999998938E-2</v>
      </c>
      <c r="I97">
        <f t="shared" si="14"/>
        <v>0.44133333333333313</v>
      </c>
      <c r="J97">
        <f t="shared" si="15"/>
        <v>0.30133333333333301</v>
      </c>
      <c r="AC97">
        <f t="shared" si="16"/>
        <v>0.51109807424666631</v>
      </c>
      <c r="AD97">
        <f t="shared" si="17"/>
        <v>0.10228410360666584</v>
      </c>
      <c r="AE97">
        <v>3</v>
      </c>
    </row>
    <row r="98" spans="1:31" ht="16" customHeight="1" x14ac:dyDescent="0.2">
      <c r="A98">
        <v>6.7</v>
      </c>
      <c r="B98">
        <v>2.5</v>
      </c>
      <c r="C98">
        <v>5.8</v>
      </c>
      <c r="D98">
        <v>1.8</v>
      </c>
      <c r="E98">
        <v>2</v>
      </c>
      <c r="G98">
        <f t="shared" ref="G98:G129" si="18">A98-$L$10</f>
        <v>0.85666666666666647</v>
      </c>
      <c r="H98">
        <f t="shared" ref="H98:H129" si="19">B98-$M$10</f>
        <v>-0.55399999999999894</v>
      </c>
      <c r="I98">
        <f t="shared" ref="I98:I129" si="20">C98-$N$10</f>
        <v>2.0413333333333328</v>
      </c>
      <c r="J98">
        <f t="shared" ref="J98:J129" si="21">D98-$O$10</f>
        <v>0.60133333333333305</v>
      </c>
      <c r="AC98">
        <f t="shared" ref="AC98:AC129" si="22">($X$5*G98)+($Y$5*H98)+($Z$5*I98)+($AA$5*J98)</f>
        <v>2.3196729622466661</v>
      </c>
      <c r="AD98">
        <f t="shared" ref="AD98:AD129" si="23">($X$6*G98)+($Y$6*H98)+($Z$6*I98)+($AA$6*J98)</f>
        <v>0.24554816560666601</v>
      </c>
      <c r="AE98">
        <v>2</v>
      </c>
    </row>
    <row r="99" spans="1:31" ht="16" customHeight="1" x14ac:dyDescent="0.2">
      <c r="A99">
        <v>6.3</v>
      </c>
      <c r="B99">
        <v>2.9</v>
      </c>
      <c r="C99">
        <v>5.6</v>
      </c>
      <c r="D99">
        <v>1.8</v>
      </c>
      <c r="E99">
        <v>2</v>
      </c>
      <c r="G99">
        <f t="shared" si="18"/>
        <v>0.45666666666666611</v>
      </c>
      <c r="H99">
        <f t="shared" si="19"/>
        <v>-0.15399999999999903</v>
      </c>
      <c r="I99">
        <f t="shared" si="20"/>
        <v>1.8413333333333326</v>
      </c>
      <c r="J99">
        <f t="shared" si="21"/>
        <v>0.60133333333333305</v>
      </c>
      <c r="AC99">
        <f t="shared" si="22"/>
        <v>1.9708150402466655</v>
      </c>
      <c r="AD99">
        <f t="shared" si="23"/>
        <v>0.18112568960666611</v>
      </c>
      <c r="AE99">
        <v>2</v>
      </c>
    </row>
    <row r="100" spans="1:31" ht="16" customHeight="1" x14ac:dyDescent="0.2">
      <c r="A100">
        <v>6.5</v>
      </c>
      <c r="B100">
        <v>3.2</v>
      </c>
      <c r="C100">
        <v>5.0999999999999996</v>
      </c>
      <c r="D100">
        <v>2</v>
      </c>
      <c r="E100">
        <v>2</v>
      </c>
      <c r="G100">
        <f t="shared" si="18"/>
        <v>0.65666666666666629</v>
      </c>
      <c r="H100">
        <f t="shared" si="19"/>
        <v>0.14600000000000124</v>
      </c>
      <c r="I100">
        <f t="shared" si="20"/>
        <v>1.3413333333333326</v>
      </c>
      <c r="J100">
        <f t="shared" si="21"/>
        <v>0.80133333333333301</v>
      </c>
      <c r="AC100">
        <f t="shared" si="22"/>
        <v>1.6619350762466656</v>
      </c>
      <c r="AD100">
        <f t="shared" si="23"/>
        <v>-0.24203840339333418</v>
      </c>
      <c r="AE100">
        <v>2</v>
      </c>
    </row>
    <row r="101" spans="1:31" ht="16" customHeight="1" x14ac:dyDescent="0.2">
      <c r="A101">
        <v>6.4</v>
      </c>
      <c r="B101">
        <v>2.9</v>
      </c>
      <c r="C101">
        <v>4.3</v>
      </c>
      <c r="D101">
        <v>1.3</v>
      </c>
      <c r="E101">
        <v>3</v>
      </c>
      <c r="G101">
        <f t="shared" si="18"/>
        <v>0.55666666666666664</v>
      </c>
      <c r="H101">
        <f t="shared" si="19"/>
        <v>-0.15399999999999903</v>
      </c>
      <c r="I101">
        <f t="shared" si="20"/>
        <v>0.54133333333333278</v>
      </c>
      <c r="J101">
        <f t="shared" si="21"/>
        <v>0.10133333333333305</v>
      </c>
      <c r="AC101">
        <f t="shared" si="22"/>
        <v>0.71400831824666589</v>
      </c>
      <c r="AD101">
        <f t="shared" si="23"/>
        <v>-0.15037915339333419</v>
      </c>
      <c r="AE101">
        <v>3</v>
      </c>
    </row>
    <row r="102" spans="1:31" ht="16" customHeight="1" x14ac:dyDescent="0.2">
      <c r="A102">
        <v>5.0999999999999996</v>
      </c>
      <c r="B102">
        <v>3.8</v>
      </c>
      <c r="C102">
        <v>1.9</v>
      </c>
      <c r="D102">
        <v>0.4</v>
      </c>
      <c r="E102">
        <v>1</v>
      </c>
      <c r="G102">
        <f t="shared" si="18"/>
        <v>-0.74333333333333407</v>
      </c>
      <c r="H102">
        <f t="shared" si="19"/>
        <v>0.74600000000000088</v>
      </c>
      <c r="I102">
        <f t="shared" si="20"/>
        <v>-1.8586666666666671</v>
      </c>
      <c r="J102">
        <f t="shared" si="21"/>
        <v>-0.79866666666666697</v>
      </c>
      <c r="AC102">
        <f t="shared" si="22"/>
        <v>-2.208833101753334</v>
      </c>
      <c r="AD102">
        <f t="shared" si="23"/>
        <v>-0.44269602539333364</v>
      </c>
      <c r="AE102">
        <v>1</v>
      </c>
    </row>
    <row r="103" spans="1:31" ht="16" customHeight="1" x14ac:dyDescent="0.2">
      <c r="A103">
        <v>5.6</v>
      </c>
      <c r="B103">
        <v>2.5</v>
      </c>
      <c r="C103">
        <v>3.9</v>
      </c>
      <c r="D103">
        <v>1.1000000000000001</v>
      </c>
      <c r="E103">
        <v>3</v>
      </c>
      <c r="G103">
        <f t="shared" si="18"/>
        <v>-0.24333333333333407</v>
      </c>
      <c r="H103">
        <f t="shared" si="19"/>
        <v>-0.55399999999999894</v>
      </c>
      <c r="I103">
        <f t="shared" si="20"/>
        <v>0.14133333333333287</v>
      </c>
      <c r="J103">
        <f t="shared" si="21"/>
        <v>-9.8666666666666902E-2</v>
      </c>
      <c r="AC103">
        <f t="shared" si="22"/>
        <v>4.3246356246665847E-2</v>
      </c>
      <c r="AD103">
        <f t="shared" si="23"/>
        <v>0.58148944460666641</v>
      </c>
      <c r="AE103">
        <v>3</v>
      </c>
    </row>
    <row r="104" spans="1:31" ht="16" customHeight="1" x14ac:dyDescent="0.2">
      <c r="A104">
        <v>7</v>
      </c>
      <c r="B104">
        <v>3.2</v>
      </c>
      <c r="C104">
        <v>4.7</v>
      </c>
      <c r="D104">
        <v>1.4</v>
      </c>
      <c r="E104">
        <v>2</v>
      </c>
      <c r="G104">
        <f t="shared" si="18"/>
        <v>1.1566666666666663</v>
      </c>
      <c r="H104">
        <f t="shared" si="19"/>
        <v>0.14600000000000124</v>
      </c>
      <c r="I104">
        <f t="shared" si="20"/>
        <v>0.94133333333333313</v>
      </c>
      <c r="J104">
        <f t="shared" si="21"/>
        <v>0.20133333333333292</v>
      </c>
      <c r="AC104">
        <f t="shared" si="22"/>
        <v>1.2847948042466659</v>
      </c>
      <c r="AD104">
        <f t="shared" si="23"/>
        <v>-0.68543918539333393</v>
      </c>
      <c r="AE104">
        <v>2</v>
      </c>
    </row>
    <row r="105" spans="1:31" ht="16" customHeight="1" x14ac:dyDescent="0.2">
      <c r="A105">
        <v>6.7</v>
      </c>
      <c r="B105">
        <v>3</v>
      </c>
      <c r="C105">
        <v>5.2</v>
      </c>
      <c r="D105">
        <v>2.2999999999999998</v>
      </c>
      <c r="E105">
        <v>2</v>
      </c>
      <c r="G105">
        <f t="shared" si="18"/>
        <v>0.85666666666666647</v>
      </c>
      <c r="H105">
        <f t="shared" si="19"/>
        <v>-5.3999999999998938E-2</v>
      </c>
      <c r="I105">
        <f t="shared" si="20"/>
        <v>1.4413333333333331</v>
      </c>
      <c r="J105">
        <f t="shared" si="21"/>
        <v>1.1013333333333328</v>
      </c>
      <c r="AC105">
        <f t="shared" si="22"/>
        <v>1.944017216246666</v>
      </c>
      <c r="AD105">
        <f t="shared" si="23"/>
        <v>-0.187415224393334</v>
      </c>
      <c r="AE105">
        <v>2</v>
      </c>
    </row>
    <row r="106" spans="1:31" ht="16" customHeight="1" x14ac:dyDescent="0.2">
      <c r="A106">
        <v>4.8</v>
      </c>
      <c r="B106">
        <v>3.1</v>
      </c>
      <c r="C106">
        <v>1.6</v>
      </c>
      <c r="D106">
        <v>0.2</v>
      </c>
      <c r="E106">
        <v>1</v>
      </c>
      <c r="G106">
        <f t="shared" si="18"/>
        <v>-1.0433333333333339</v>
      </c>
      <c r="H106">
        <f t="shared" si="19"/>
        <v>4.6000000000001151E-2</v>
      </c>
      <c r="I106">
        <f t="shared" si="20"/>
        <v>-2.158666666666667</v>
      </c>
      <c r="J106">
        <f t="shared" si="21"/>
        <v>-0.99866666666666704</v>
      </c>
      <c r="AC106">
        <f t="shared" si="22"/>
        <v>-2.5884622557533339</v>
      </c>
      <c r="AD106">
        <f t="shared" si="23"/>
        <v>0.1973930836066661</v>
      </c>
      <c r="AE106">
        <v>1</v>
      </c>
    </row>
    <row r="107" spans="1:31" ht="16" customHeight="1" x14ac:dyDescent="0.2">
      <c r="A107">
        <v>5.5</v>
      </c>
      <c r="B107">
        <v>2.2999999999999998</v>
      </c>
      <c r="C107">
        <v>4</v>
      </c>
      <c r="D107">
        <v>1.3</v>
      </c>
      <c r="E107">
        <v>3</v>
      </c>
      <c r="G107">
        <f t="shared" si="18"/>
        <v>-0.34333333333333371</v>
      </c>
      <c r="H107">
        <f t="shared" si="19"/>
        <v>-0.75399999999999912</v>
      </c>
      <c r="I107">
        <f t="shared" si="20"/>
        <v>0.24133333333333296</v>
      </c>
      <c r="J107">
        <f t="shared" si="21"/>
        <v>0.10133333333333305</v>
      </c>
      <c r="AC107">
        <f t="shared" si="22"/>
        <v>0.18096714524666602</v>
      </c>
      <c r="AD107">
        <f t="shared" si="23"/>
        <v>0.82560394060666631</v>
      </c>
      <c r="AE107">
        <v>3</v>
      </c>
    </row>
    <row r="108" spans="1:31" ht="16" customHeight="1" x14ac:dyDescent="0.2">
      <c r="A108">
        <v>7.7</v>
      </c>
      <c r="B108">
        <v>3</v>
      </c>
      <c r="C108">
        <v>6.1</v>
      </c>
      <c r="D108">
        <v>2.2999999999999998</v>
      </c>
      <c r="E108">
        <v>2</v>
      </c>
      <c r="G108">
        <f t="shared" si="18"/>
        <v>1.8566666666666665</v>
      </c>
      <c r="H108">
        <f t="shared" si="19"/>
        <v>-5.3999999999998938E-2</v>
      </c>
      <c r="I108">
        <f t="shared" si="20"/>
        <v>2.3413333333333326</v>
      </c>
      <c r="J108">
        <f t="shared" si="21"/>
        <v>1.1013333333333328</v>
      </c>
      <c r="AC108">
        <f t="shared" si="22"/>
        <v>3.0765219752466657</v>
      </c>
      <c r="AD108">
        <f t="shared" si="23"/>
        <v>-0.68576444439333417</v>
      </c>
      <c r="AE108">
        <v>2</v>
      </c>
    </row>
    <row r="109" spans="1:31" ht="16" customHeight="1" x14ac:dyDescent="0.2">
      <c r="A109">
        <v>4.8</v>
      </c>
      <c r="B109">
        <v>3</v>
      </c>
      <c r="C109">
        <v>1.4</v>
      </c>
      <c r="D109">
        <v>0.3</v>
      </c>
      <c r="E109">
        <v>1</v>
      </c>
      <c r="G109">
        <f t="shared" si="18"/>
        <v>-1.0433333333333339</v>
      </c>
      <c r="H109">
        <f t="shared" si="19"/>
        <v>-5.3999999999998938E-2</v>
      </c>
      <c r="I109">
        <f t="shared" si="20"/>
        <v>-2.3586666666666671</v>
      </c>
      <c r="J109">
        <f t="shared" si="21"/>
        <v>-0.89866666666666695</v>
      </c>
      <c r="AC109">
        <f t="shared" si="22"/>
        <v>-2.7156653957533337</v>
      </c>
      <c r="AD109">
        <f t="shared" si="23"/>
        <v>0.24268148760666614</v>
      </c>
      <c r="AE109">
        <v>1</v>
      </c>
    </row>
    <row r="110" spans="1:31" ht="16" customHeight="1" x14ac:dyDescent="0.2">
      <c r="A110">
        <v>5.8</v>
      </c>
      <c r="B110">
        <v>2.7</v>
      </c>
      <c r="C110">
        <v>4.0999999999999996</v>
      </c>
      <c r="D110">
        <v>1</v>
      </c>
      <c r="E110">
        <v>3</v>
      </c>
      <c r="G110">
        <f t="shared" si="18"/>
        <v>-4.333333333333389E-2</v>
      </c>
      <c r="H110">
        <f t="shared" si="19"/>
        <v>-0.35399999999999876</v>
      </c>
      <c r="I110">
        <f t="shared" si="20"/>
        <v>0.3413333333333326</v>
      </c>
      <c r="J110">
        <f t="shared" si="21"/>
        <v>-0.19866666666666699</v>
      </c>
      <c r="AC110">
        <f t="shared" si="22"/>
        <v>0.23454057924666563</v>
      </c>
      <c r="AD110">
        <f t="shared" si="23"/>
        <v>0.33192182760666594</v>
      </c>
      <c r="AE110">
        <v>3</v>
      </c>
    </row>
    <row r="111" spans="1:31" ht="16" customHeight="1" x14ac:dyDescent="0.2">
      <c r="A111">
        <v>5.6</v>
      </c>
      <c r="B111">
        <v>2.8</v>
      </c>
      <c r="C111">
        <v>4.9000000000000004</v>
      </c>
      <c r="D111">
        <v>2</v>
      </c>
      <c r="E111">
        <v>3</v>
      </c>
      <c r="G111">
        <f t="shared" si="18"/>
        <v>-0.24333333333333407</v>
      </c>
      <c r="H111">
        <f t="shared" si="19"/>
        <v>-0.25399999999999912</v>
      </c>
      <c r="I111">
        <f t="shared" si="20"/>
        <v>1.1413333333333333</v>
      </c>
      <c r="J111">
        <f t="shared" si="21"/>
        <v>0.80133333333333301</v>
      </c>
      <c r="AC111">
        <f t="shared" si="22"/>
        <v>1.1980973362466663</v>
      </c>
      <c r="AD111">
        <f t="shared" si="23"/>
        <v>0.6055789566066665</v>
      </c>
      <c r="AE111">
        <v>3</v>
      </c>
    </row>
    <row r="112" spans="1:31" ht="16" customHeight="1" x14ac:dyDescent="0.2">
      <c r="A112">
        <v>6.1</v>
      </c>
      <c r="B112">
        <v>3</v>
      </c>
      <c r="C112">
        <v>4.9000000000000004</v>
      </c>
      <c r="D112">
        <v>1.8</v>
      </c>
      <c r="E112">
        <v>2</v>
      </c>
      <c r="G112">
        <f t="shared" si="18"/>
        <v>0.25666666666666593</v>
      </c>
      <c r="H112">
        <f t="shared" si="19"/>
        <v>-5.3999999999998938E-2</v>
      </c>
      <c r="I112">
        <f t="shared" si="20"/>
        <v>1.1413333333333333</v>
      </c>
      <c r="J112">
        <f t="shared" si="21"/>
        <v>0.60133333333333305</v>
      </c>
      <c r="AC112">
        <f t="shared" si="22"/>
        <v>1.290669702246666</v>
      </c>
      <c r="AD112">
        <f t="shared" si="23"/>
        <v>0.11642524860666634</v>
      </c>
      <c r="AE112">
        <v>2</v>
      </c>
    </row>
    <row r="113" spans="1:31" ht="16" customHeight="1" x14ac:dyDescent="0.2">
      <c r="A113">
        <v>4.4000000000000004</v>
      </c>
      <c r="B113">
        <v>2.9</v>
      </c>
      <c r="C113">
        <v>1.4</v>
      </c>
      <c r="D113">
        <v>0.2</v>
      </c>
      <c r="E113">
        <v>1</v>
      </c>
      <c r="G113">
        <f t="shared" si="18"/>
        <v>-1.4433333333333334</v>
      </c>
      <c r="H113">
        <f t="shared" si="19"/>
        <v>-0.15399999999999903</v>
      </c>
      <c r="I113">
        <f t="shared" si="20"/>
        <v>-2.3586666666666671</v>
      </c>
      <c r="J113">
        <f t="shared" si="21"/>
        <v>-0.99866666666666704</v>
      </c>
      <c r="AC113">
        <f t="shared" si="22"/>
        <v>-2.8879588437533337</v>
      </c>
      <c r="AD113">
        <f t="shared" si="23"/>
        <v>0.57079802960666592</v>
      </c>
      <c r="AE113">
        <v>1</v>
      </c>
    </row>
    <row r="114" spans="1:31" ht="16" customHeight="1" x14ac:dyDescent="0.2">
      <c r="A114">
        <v>4.9000000000000004</v>
      </c>
      <c r="B114">
        <v>3.1</v>
      </c>
      <c r="C114">
        <v>1.5</v>
      </c>
      <c r="D114">
        <v>0.1</v>
      </c>
      <c r="E114">
        <v>1</v>
      </c>
      <c r="G114">
        <f t="shared" si="18"/>
        <v>-0.94333333333333336</v>
      </c>
      <c r="H114">
        <f t="shared" si="19"/>
        <v>4.6000000000001151E-2</v>
      </c>
      <c r="I114">
        <f t="shared" si="20"/>
        <v>-2.258666666666667</v>
      </c>
      <c r="J114">
        <f t="shared" si="21"/>
        <v>-1.0986666666666669</v>
      </c>
      <c r="AC114">
        <f t="shared" si="22"/>
        <v>-2.6738448737533336</v>
      </c>
      <c r="AD114">
        <f t="shared" si="23"/>
        <v>0.10669170860666576</v>
      </c>
      <c r="AE114">
        <v>1</v>
      </c>
    </row>
    <row r="115" spans="1:31" ht="16" customHeight="1" x14ac:dyDescent="0.2">
      <c r="A115">
        <v>6.2</v>
      </c>
      <c r="B115">
        <v>2.2000000000000002</v>
      </c>
      <c r="C115">
        <v>4.5</v>
      </c>
      <c r="D115">
        <v>1.5</v>
      </c>
      <c r="E115">
        <v>3</v>
      </c>
      <c r="G115">
        <f t="shared" si="18"/>
        <v>0.35666666666666647</v>
      </c>
      <c r="H115">
        <f t="shared" si="19"/>
        <v>-0.85399999999999876</v>
      </c>
      <c r="I115">
        <f t="shared" si="20"/>
        <v>0.74133333333333296</v>
      </c>
      <c r="J115">
        <f t="shared" si="21"/>
        <v>0.30133333333333301</v>
      </c>
      <c r="AC115">
        <f t="shared" si="22"/>
        <v>0.94236177724666614</v>
      </c>
      <c r="AD115">
        <f t="shared" si="23"/>
        <v>0.54182225560666586</v>
      </c>
      <c r="AE115">
        <v>3</v>
      </c>
    </row>
    <row r="116" spans="1:31" ht="16" customHeight="1" x14ac:dyDescent="0.2">
      <c r="A116">
        <v>6.3</v>
      </c>
      <c r="B116">
        <v>3.4</v>
      </c>
      <c r="C116">
        <v>5.6</v>
      </c>
      <c r="D116">
        <v>2.4</v>
      </c>
      <c r="E116">
        <v>2</v>
      </c>
      <c r="G116">
        <f t="shared" si="18"/>
        <v>0.45666666666666611</v>
      </c>
      <c r="H116">
        <f t="shared" si="19"/>
        <v>0.34600000000000097</v>
      </c>
      <c r="I116">
        <f t="shared" si="20"/>
        <v>1.8413333333333326</v>
      </c>
      <c r="J116">
        <f t="shared" si="21"/>
        <v>1.2013333333333329</v>
      </c>
      <c r="AC116">
        <f t="shared" si="22"/>
        <v>2.1449869532466654</v>
      </c>
      <c r="AD116">
        <f t="shared" si="23"/>
        <v>-0.13890661339333391</v>
      </c>
      <c r="AE116">
        <v>2</v>
      </c>
    </row>
    <row r="117" spans="1:31" ht="16" customHeight="1" x14ac:dyDescent="0.2">
      <c r="A117">
        <v>5.0999999999999996</v>
      </c>
      <c r="B117">
        <v>3.8</v>
      </c>
      <c r="C117">
        <v>1.6</v>
      </c>
      <c r="D117">
        <v>0.2</v>
      </c>
      <c r="E117">
        <v>1</v>
      </c>
      <c r="G117">
        <f t="shared" si="18"/>
        <v>-0.74333333333333407</v>
      </c>
      <c r="H117">
        <f t="shared" si="19"/>
        <v>0.74600000000000088</v>
      </c>
      <c r="I117">
        <f t="shared" si="20"/>
        <v>-2.158666666666667</v>
      </c>
      <c r="J117">
        <f t="shared" si="21"/>
        <v>-0.99866666666666704</v>
      </c>
      <c r="AC117">
        <f t="shared" si="22"/>
        <v>-2.5375735207533339</v>
      </c>
      <c r="AD117">
        <f t="shared" si="23"/>
        <v>-0.51036753939333357</v>
      </c>
      <c r="AE117">
        <v>1</v>
      </c>
    </row>
    <row r="118" spans="1:31" ht="16" customHeight="1" x14ac:dyDescent="0.2">
      <c r="A118">
        <v>6</v>
      </c>
      <c r="B118">
        <v>2.7</v>
      </c>
      <c r="C118">
        <v>5.0999999999999996</v>
      </c>
      <c r="D118">
        <v>1.6</v>
      </c>
      <c r="E118">
        <v>2</v>
      </c>
      <c r="G118">
        <f t="shared" si="18"/>
        <v>0.15666666666666629</v>
      </c>
      <c r="H118">
        <f t="shared" si="19"/>
        <v>-0.35399999999999876</v>
      </c>
      <c r="I118">
        <f t="shared" si="20"/>
        <v>1.3413333333333326</v>
      </c>
      <c r="J118">
        <f t="shared" si="21"/>
        <v>0.4013333333333331</v>
      </c>
      <c r="AC118">
        <f t="shared" si="22"/>
        <v>1.3787370192466657</v>
      </c>
      <c r="AD118">
        <f t="shared" si="23"/>
        <v>0.42120513360666584</v>
      </c>
      <c r="AE118">
        <v>2</v>
      </c>
    </row>
    <row r="119" spans="1:31" ht="16" customHeight="1" x14ac:dyDescent="0.2">
      <c r="A119">
        <v>5.7</v>
      </c>
      <c r="B119">
        <v>3.8</v>
      </c>
      <c r="C119">
        <v>1.7</v>
      </c>
      <c r="D119">
        <v>0.3</v>
      </c>
      <c r="E119">
        <v>1</v>
      </c>
      <c r="G119">
        <f t="shared" si="18"/>
        <v>-0.14333333333333353</v>
      </c>
      <c r="H119">
        <f t="shared" si="19"/>
        <v>0.74600000000000088</v>
      </c>
      <c r="I119">
        <f t="shared" si="20"/>
        <v>-2.0586666666666673</v>
      </c>
      <c r="J119">
        <f t="shared" si="21"/>
        <v>-0.89866666666666695</v>
      </c>
      <c r="AC119">
        <f t="shared" si="22"/>
        <v>-2.1990780007533344</v>
      </c>
      <c r="AD119">
        <f t="shared" si="23"/>
        <v>-0.87924408039333402</v>
      </c>
      <c r="AE119">
        <v>1</v>
      </c>
    </row>
    <row r="120" spans="1:31" ht="16" customHeight="1" x14ac:dyDescent="0.2">
      <c r="A120">
        <v>4.5999999999999996</v>
      </c>
      <c r="B120">
        <v>3.2</v>
      </c>
      <c r="C120">
        <v>1.4</v>
      </c>
      <c r="D120">
        <v>0.2</v>
      </c>
      <c r="E120">
        <v>1</v>
      </c>
      <c r="G120">
        <f t="shared" si="18"/>
        <v>-1.2433333333333341</v>
      </c>
      <c r="H120">
        <f t="shared" si="19"/>
        <v>0.14600000000000124</v>
      </c>
      <c r="I120">
        <f t="shared" si="20"/>
        <v>-2.3586666666666671</v>
      </c>
      <c r="J120">
        <f t="shared" si="21"/>
        <v>-0.99866666666666704</v>
      </c>
      <c r="AC120">
        <f t="shared" si="22"/>
        <v>-2.8403215387533338</v>
      </c>
      <c r="AD120">
        <f t="shared" si="23"/>
        <v>0.22057634260666606</v>
      </c>
      <c r="AE120">
        <v>1</v>
      </c>
    </row>
    <row r="121" spans="1:31" ht="16" customHeight="1" x14ac:dyDescent="0.2">
      <c r="A121">
        <v>7.2</v>
      </c>
      <c r="B121">
        <v>3.6</v>
      </c>
      <c r="C121">
        <v>6.1</v>
      </c>
      <c r="D121">
        <v>2.5</v>
      </c>
      <c r="E121">
        <v>2</v>
      </c>
      <c r="G121">
        <f t="shared" si="18"/>
        <v>1.3566666666666665</v>
      </c>
      <c r="H121">
        <f t="shared" si="19"/>
        <v>0.54600000000000115</v>
      </c>
      <c r="I121">
        <f t="shared" si="20"/>
        <v>2.3413333333333326</v>
      </c>
      <c r="J121">
        <f t="shared" si="21"/>
        <v>1.301333333333333</v>
      </c>
      <c r="AC121">
        <f t="shared" si="22"/>
        <v>2.9181344972466658</v>
      </c>
      <c r="AD121">
        <f t="shared" si="23"/>
        <v>-0.78038063239333422</v>
      </c>
      <c r="AE121">
        <v>2</v>
      </c>
    </row>
    <row r="122" spans="1:31" ht="16" customHeight="1" x14ac:dyDescent="0.2">
      <c r="A122">
        <v>5.6</v>
      </c>
      <c r="B122">
        <v>2.7</v>
      </c>
      <c r="C122">
        <v>4.2</v>
      </c>
      <c r="D122">
        <v>1.3</v>
      </c>
      <c r="E122">
        <v>3</v>
      </c>
      <c r="G122">
        <f t="shared" si="18"/>
        <v>-0.24333333333333407</v>
      </c>
      <c r="H122">
        <f t="shared" si="19"/>
        <v>-0.35399999999999876</v>
      </c>
      <c r="I122">
        <f t="shared" si="20"/>
        <v>0.44133333333333313</v>
      </c>
      <c r="J122">
        <f t="shared" si="21"/>
        <v>0.10133333333333305</v>
      </c>
      <c r="AC122">
        <f t="shared" si="22"/>
        <v>0.35553299724666604</v>
      </c>
      <c r="AD122">
        <f t="shared" si="23"/>
        <v>0.50321848460666618</v>
      </c>
      <c r="AE122">
        <v>3</v>
      </c>
    </row>
    <row r="123" spans="1:31" ht="16" customHeight="1" x14ac:dyDescent="0.2">
      <c r="A123">
        <v>4.7</v>
      </c>
      <c r="B123">
        <v>3.2</v>
      </c>
      <c r="C123">
        <v>1.3</v>
      </c>
      <c r="D123">
        <v>0.2</v>
      </c>
      <c r="E123">
        <v>1</v>
      </c>
      <c r="G123">
        <f t="shared" si="18"/>
        <v>-1.1433333333333335</v>
      </c>
      <c r="H123">
        <f t="shared" si="19"/>
        <v>0.14600000000000124</v>
      </c>
      <c r="I123">
        <f t="shared" si="20"/>
        <v>-2.4586666666666668</v>
      </c>
      <c r="J123">
        <f t="shared" si="21"/>
        <v>-0.99866666666666704</v>
      </c>
      <c r="AC123">
        <f t="shared" si="22"/>
        <v>-2.8898197637533336</v>
      </c>
      <c r="AD123">
        <f t="shared" si="23"/>
        <v>0.13734561460666592</v>
      </c>
      <c r="AE123">
        <v>1</v>
      </c>
    </row>
    <row r="124" spans="1:31" ht="16" customHeight="1" x14ac:dyDescent="0.2">
      <c r="A124">
        <v>6</v>
      </c>
      <c r="B124">
        <v>2.2000000000000002</v>
      </c>
      <c r="C124">
        <v>5</v>
      </c>
      <c r="D124">
        <v>1.5</v>
      </c>
      <c r="E124">
        <v>3</v>
      </c>
      <c r="G124">
        <f t="shared" si="18"/>
        <v>0.15666666666666629</v>
      </c>
      <c r="H124">
        <f t="shared" si="19"/>
        <v>-0.85399999999999876</v>
      </c>
      <c r="I124">
        <f t="shared" si="20"/>
        <v>1.241333333333333</v>
      </c>
      <c r="J124">
        <f t="shared" si="21"/>
        <v>0.30133333333333301</v>
      </c>
      <c r="AC124">
        <f t="shared" si="22"/>
        <v>1.298329860246666</v>
      </c>
      <c r="AD124">
        <f t="shared" si="23"/>
        <v>0.76101393160666608</v>
      </c>
      <c r="AE124">
        <v>3</v>
      </c>
    </row>
    <row r="125" spans="1:31" ht="16" customHeight="1" x14ac:dyDescent="0.2">
      <c r="A125">
        <v>6.5</v>
      </c>
      <c r="B125">
        <v>3</v>
      </c>
      <c r="C125">
        <v>5.5</v>
      </c>
      <c r="D125">
        <v>1.8</v>
      </c>
      <c r="E125">
        <v>2</v>
      </c>
      <c r="G125">
        <f t="shared" si="18"/>
        <v>0.65666666666666629</v>
      </c>
      <c r="H125">
        <f t="shared" si="19"/>
        <v>-5.3999999999998938E-2</v>
      </c>
      <c r="I125">
        <f t="shared" si="20"/>
        <v>1.741333333333333</v>
      </c>
      <c r="J125">
        <f t="shared" si="21"/>
        <v>0.60133333333333305</v>
      </c>
      <c r="AC125">
        <f t="shared" si="22"/>
        <v>1.9492489122466659</v>
      </c>
      <c r="AD125">
        <f t="shared" si="23"/>
        <v>-4.0730263393333938E-2</v>
      </c>
      <c r="AE125">
        <v>2</v>
      </c>
    </row>
    <row r="126" spans="1:31" ht="16" customHeight="1" x14ac:dyDescent="0.2">
      <c r="A126">
        <v>6.8</v>
      </c>
      <c r="B126">
        <v>3.2</v>
      </c>
      <c r="C126">
        <v>5.9</v>
      </c>
      <c r="D126">
        <v>2.2999999999999998</v>
      </c>
      <c r="E126">
        <v>2</v>
      </c>
      <c r="G126">
        <f t="shared" si="18"/>
        <v>0.95666666666666611</v>
      </c>
      <c r="H126">
        <f t="shared" si="19"/>
        <v>0.14600000000000124</v>
      </c>
      <c r="I126">
        <f t="shared" si="20"/>
        <v>2.1413333333333333</v>
      </c>
      <c r="J126">
        <f t="shared" si="21"/>
        <v>1.1013333333333328</v>
      </c>
      <c r="AC126">
        <f t="shared" si="22"/>
        <v>2.5633229012466661</v>
      </c>
      <c r="AD126">
        <f t="shared" si="23"/>
        <v>-0.27597450639333376</v>
      </c>
      <c r="AE126">
        <v>2</v>
      </c>
    </row>
    <row r="127" spans="1:31" ht="16" customHeight="1" x14ac:dyDescent="0.2">
      <c r="A127">
        <v>6.9</v>
      </c>
      <c r="B127">
        <v>3.1</v>
      </c>
      <c r="C127">
        <v>4.9000000000000004</v>
      </c>
      <c r="D127">
        <v>1.5</v>
      </c>
      <c r="E127">
        <v>2</v>
      </c>
      <c r="G127">
        <f t="shared" si="18"/>
        <v>1.0566666666666666</v>
      </c>
      <c r="H127">
        <f t="shared" si="19"/>
        <v>4.6000000000001151E-2</v>
      </c>
      <c r="I127">
        <f t="shared" si="20"/>
        <v>1.1413333333333333</v>
      </c>
      <c r="J127">
        <f t="shared" si="21"/>
        <v>0.30133333333333301</v>
      </c>
      <c r="AC127">
        <f t="shared" si="22"/>
        <v>1.4640615222466664</v>
      </c>
      <c r="AD127">
        <f t="shared" si="23"/>
        <v>-0.50418983339333412</v>
      </c>
      <c r="AE127">
        <v>2</v>
      </c>
    </row>
    <row r="128" spans="1:31" ht="16" customHeight="1" x14ac:dyDescent="0.2">
      <c r="A128">
        <v>5</v>
      </c>
      <c r="B128">
        <v>3.2</v>
      </c>
      <c r="C128">
        <v>1.2</v>
      </c>
      <c r="D128">
        <v>0.2</v>
      </c>
      <c r="E128">
        <v>1</v>
      </c>
      <c r="G128">
        <f t="shared" si="18"/>
        <v>-0.84333333333333371</v>
      </c>
      <c r="H128">
        <f t="shared" si="19"/>
        <v>0.14600000000000124</v>
      </c>
      <c r="I128">
        <f t="shared" si="20"/>
        <v>-2.5586666666666673</v>
      </c>
      <c r="J128">
        <f t="shared" si="21"/>
        <v>-0.99866666666666704</v>
      </c>
      <c r="AC128">
        <f t="shared" si="22"/>
        <v>-2.8670000167533343</v>
      </c>
      <c r="AD128">
        <f t="shared" si="23"/>
        <v>-7.7193089393334108E-2</v>
      </c>
      <c r="AE128">
        <v>1</v>
      </c>
    </row>
    <row r="129" spans="1:31" ht="16" customHeight="1" x14ac:dyDescent="0.2">
      <c r="A129">
        <v>6.4</v>
      </c>
      <c r="B129">
        <v>2.8</v>
      </c>
      <c r="C129">
        <v>5.6</v>
      </c>
      <c r="D129">
        <v>2.1</v>
      </c>
      <c r="E129">
        <v>2</v>
      </c>
      <c r="G129">
        <f t="shared" si="18"/>
        <v>0.55666666666666664</v>
      </c>
      <c r="H129">
        <f t="shared" si="19"/>
        <v>-0.25399999999999912</v>
      </c>
      <c r="I129">
        <f t="shared" si="20"/>
        <v>1.8413333333333326</v>
      </c>
      <c r="J129">
        <f t="shared" si="21"/>
        <v>0.9013333333333331</v>
      </c>
      <c r="AC129">
        <f t="shared" si="22"/>
        <v>2.1228540942466658</v>
      </c>
      <c r="AD129">
        <f t="shared" si="23"/>
        <v>0.21085487960666588</v>
      </c>
      <c r="AE129">
        <v>2</v>
      </c>
    </row>
    <row r="130" spans="1:31" ht="16" customHeight="1" x14ac:dyDescent="0.2">
      <c r="A130">
        <v>5</v>
      </c>
      <c r="B130">
        <v>3.4</v>
      </c>
      <c r="C130">
        <v>1.6</v>
      </c>
      <c r="D130">
        <v>0.4</v>
      </c>
      <c r="E130">
        <v>1</v>
      </c>
      <c r="G130">
        <f t="shared" ref="G130:G151" si="24">A130-$L$10</f>
        <v>-0.84333333333333371</v>
      </c>
      <c r="H130">
        <f t="shared" ref="H130:H151" si="25">B130-$M$10</f>
        <v>0.34600000000000097</v>
      </c>
      <c r="I130">
        <f t="shared" ref="I130:I151" si="26">C130-$N$10</f>
        <v>-2.158666666666667</v>
      </c>
      <c r="J130">
        <f t="shared" ref="J130:J151" si="27">D130-$O$10</f>
        <v>-0.79866666666666697</v>
      </c>
      <c r="AC130">
        <f t="shared" ref="AC130:AC151" si="28">($X$5*G130)+($Y$5*H130)+($Z$5*I130)+($AA$5*J130)</f>
        <v>-2.4690561647533338</v>
      </c>
      <c r="AD130">
        <f t="shared" ref="AD130:AD151" si="29">($X$6*G130)+($Y$6*H130)+($Z$6*I130)+($AA$6*J130)</f>
        <v>-0.13788730939333382</v>
      </c>
      <c r="AE130">
        <v>1</v>
      </c>
    </row>
    <row r="131" spans="1:31" ht="16" customHeight="1" x14ac:dyDescent="0.2">
      <c r="A131">
        <v>4.7</v>
      </c>
      <c r="B131">
        <v>3.2</v>
      </c>
      <c r="C131">
        <v>1.6</v>
      </c>
      <c r="D131">
        <v>0.2</v>
      </c>
      <c r="E131">
        <v>1</v>
      </c>
      <c r="G131">
        <f t="shared" si="24"/>
        <v>-1.1433333333333335</v>
      </c>
      <c r="H131">
        <f t="shared" si="25"/>
        <v>0.14600000000000124</v>
      </c>
      <c r="I131">
        <f t="shared" si="26"/>
        <v>-2.158666666666667</v>
      </c>
      <c r="J131">
        <f t="shared" si="27"/>
        <v>-0.99866666666666704</v>
      </c>
      <c r="AC131">
        <f t="shared" si="28"/>
        <v>-2.6328481307533336</v>
      </c>
      <c r="AD131">
        <f t="shared" si="29"/>
        <v>0.19007583460666591</v>
      </c>
      <c r="AE131">
        <v>1</v>
      </c>
    </row>
    <row r="132" spans="1:31" ht="16" customHeight="1" x14ac:dyDescent="0.2">
      <c r="A132">
        <v>5.6</v>
      </c>
      <c r="B132">
        <v>3</v>
      </c>
      <c r="C132">
        <v>4.0999999999999996</v>
      </c>
      <c r="D132">
        <v>1.3</v>
      </c>
      <c r="E132">
        <v>3</v>
      </c>
      <c r="G132">
        <f t="shared" si="24"/>
        <v>-0.24333333333333407</v>
      </c>
      <c r="H132">
        <f t="shared" si="25"/>
        <v>-5.3999999999998938E-2</v>
      </c>
      <c r="I132">
        <f t="shared" si="26"/>
        <v>0.3413333333333326</v>
      </c>
      <c r="J132">
        <f t="shared" si="27"/>
        <v>0.10133333333333305</v>
      </c>
      <c r="AC132">
        <f t="shared" si="28"/>
        <v>0.24519511924666559</v>
      </c>
      <c r="AD132">
        <f t="shared" si="29"/>
        <v>0.26672803360666619</v>
      </c>
      <c r="AE132">
        <v>3</v>
      </c>
    </row>
    <row r="133" spans="1:31" ht="16" customHeight="1" x14ac:dyDescent="0.2">
      <c r="A133">
        <v>6.2</v>
      </c>
      <c r="B133">
        <v>2.8</v>
      </c>
      <c r="C133">
        <v>4.8</v>
      </c>
      <c r="D133">
        <v>1.8</v>
      </c>
      <c r="E133">
        <v>3</v>
      </c>
      <c r="G133">
        <f t="shared" si="24"/>
        <v>0.35666666666666647</v>
      </c>
      <c r="H133">
        <f t="shared" si="25"/>
        <v>-0.25399999999999912</v>
      </c>
      <c r="I133">
        <f t="shared" si="26"/>
        <v>1.0413333333333328</v>
      </c>
      <c r="J133">
        <f t="shared" si="27"/>
        <v>0.60133333333333305</v>
      </c>
      <c r="AC133">
        <f t="shared" si="28"/>
        <v>1.2576252552466658</v>
      </c>
      <c r="AD133">
        <f t="shared" si="29"/>
        <v>0.17913699460666602</v>
      </c>
      <c r="AE133">
        <v>3</v>
      </c>
    </row>
    <row r="134" spans="1:31" ht="16" customHeight="1" x14ac:dyDescent="0.2">
      <c r="A134">
        <v>5.8</v>
      </c>
      <c r="B134">
        <v>2.6</v>
      </c>
      <c r="C134">
        <v>4</v>
      </c>
      <c r="D134">
        <v>1.2</v>
      </c>
      <c r="E134">
        <v>3</v>
      </c>
      <c r="G134">
        <f t="shared" si="24"/>
        <v>-4.333333333333389E-2</v>
      </c>
      <c r="H134">
        <f t="shared" si="25"/>
        <v>-0.45399999999999885</v>
      </c>
      <c r="I134">
        <f t="shared" si="26"/>
        <v>0.24133333333333296</v>
      </c>
      <c r="J134">
        <f t="shared" si="27"/>
        <v>1.3333333333329644E-3</v>
      </c>
      <c r="AC134">
        <f t="shared" si="28"/>
        <v>0.22887904324666591</v>
      </c>
      <c r="AD134">
        <f t="shared" si="29"/>
        <v>0.40225761860666609</v>
      </c>
      <c r="AE134">
        <v>3</v>
      </c>
    </row>
    <row r="135" spans="1:31" ht="16" customHeight="1" x14ac:dyDescent="0.2">
      <c r="A135">
        <v>4.8</v>
      </c>
      <c r="B135">
        <v>3.4</v>
      </c>
      <c r="C135">
        <v>1.9</v>
      </c>
      <c r="D135">
        <v>0.2</v>
      </c>
      <c r="E135">
        <v>1</v>
      </c>
      <c r="G135">
        <f t="shared" si="24"/>
        <v>-1.0433333333333339</v>
      </c>
      <c r="H135">
        <f t="shared" si="25"/>
        <v>0.34600000000000097</v>
      </c>
      <c r="I135">
        <f t="shared" si="26"/>
        <v>-1.8586666666666671</v>
      </c>
      <c r="J135">
        <f t="shared" si="27"/>
        <v>-0.99866666666666704</v>
      </c>
      <c r="AC135">
        <f t="shared" si="28"/>
        <v>-2.356171289753334</v>
      </c>
      <c r="AD135">
        <f t="shared" si="29"/>
        <v>3.1209592606666198E-2</v>
      </c>
      <c r="AE135">
        <v>1</v>
      </c>
    </row>
    <row r="136" spans="1:31" ht="16" customHeight="1" x14ac:dyDescent="0.2">
      <c r="A136">
        <v>5.7</v>
      </c>
      <c r="B136">
        <v>2.9</v>
      </c>
      <c r="C136">
        <v>4.2</v>
      </c>
      <c r="D136">
        <v>1.3</v>
      </c>
      <c r="E136">
        <v>3</v>
      </c>
      <c r="G136">
        <f t="shared" si="24"/>
        <v>-0.14333333333333353</v>
      </c>
      <c r="H136">
        <f t="shared" si="25"/>
        <v>-0.15399999999999903</v>
      </c>
      <c r="I136">
        <f t="shared" si="26"/>
        <v>0.44133333333333313</v>
      </c>
      <c r="J136">
        <f t="shared" si="27"/>
        <v>0.10133333333333305</v>
      </c>
      <c r="AC136">
        <f t="shared" si="28"/>
        <v>0.37523820524666629</v>
      </c>
      <c r="AD136">
        <f t="shared" si="29"/>
        <v>0.29162202260666598</v>
      </c>
      <c r="AE136">
        <v>3</v>
      </c>
    </row>
    <row r="137" spans="1:31" ht="16" customHeight="1" x14ac:dyDescent="0.2">
      <c r="A137">
        <v>6.6</v>
      </c>
      <c r="B137">
        <v>3</v>
      </c>
      <c r="C137">
        <v>4.4000000000000004</v>
      </c>
      <c r="D137">
        <v>1.4</v>
      </c>
      <c r="E137">
        <v>3</v>
      </c>
      <c r="G137">
        <f t="shared" si="24"/>
        <v>0.75666666666666593</v>
      </c>
      <c r="H137">
        <f t="shared" si="25"/>
        <v>-5.3999999999998938E-2</v>
      </c>
      <c r="I137">
        <f t="shared" si="26"/>
        <v>0.64133333333333331</v>
      </c>
      <c r="J137">
        <f t="shared" si="27"/>
        <v>0.20133333333333292</v>
      </c>
      <c r="AC137">
        <f t="shared" si="28"/>
        <v>0.89964100524666624</v>
      </c>
      <c r="AD137">
        <f t="shared" si="29"/>
        <v>-0.32961097939333367</v>
      </c>
      <c r="AE137">
        <v>3</v>
      </c>
    </row>
    <row r="138" spans="1:31" ht="16" customHeight="1" x14ac:dyDescent="0.2">
      <c r="A138">
        <v>6.6</v>
      </c>
      <c r="B138">
        <v>2.9</v>
      </c>
      <c r="C138">
        <v>4.5999999999999996</v>
      </c>
      <c r="D138">
        <v>1.3</v>
      </c>
      <c r="E138">
        <v>3</v>
      </c>
      <c r="G138">
        <f t="shared" si="24"/>
        <v>0.75666666666666593</v>
      </c>
      <c r="H138">
        <f t="shared" si="25"/>
        <v>-0.15399999999999903</v>
      </c>
      <c r="I138">
        <f t="shared" si="26"/>
        <v>0.8413333333333326</v>
      </c>
      <c r="J138">
        <f t="shared" si="27"/>
        <v>0.10133333333333305</v>
      </c>
      <c r="AC138">
        <f t="shared" si="28"/>
        <v>1.0432979232466655</v>
      </c>
      <c r="AD138">
        <f t="shared" si="29"/>
        <v>-0.22895690939333374</v>
      </c>
      <c r="AE138">
        <v>3</v>
      </c>
    </row>
    <row r="139" spans="1:31" ht="16" customHeight="1" x14ac:dyDescent="0.2">
      <c r="A139">
        <v>6.7</v>
      </c>
      <c r="B139">
        <v>3.1</v>
      </c>
      <c r="C139">
        <v>4.7</v>
      </c>
      <c r="D139">
        <v>1.5</v>
      </c>
      <c r="E139">
        <v>2</v>
      </c>
      <c r="G139">
        <f t="shared" si="24"/>
        <v>0.85666666666666647</v>
      </c>
      <c r="H139">
        <f t="shared" si="25"/>
        <v>4.6000000000001151E-2</v>
      </c>
      <c r="I139">
        <f t="shared" si="26"/>
        <v>0.94133333333333313</v>
      </c>
      <c r="J139">
        <f t="shared" si="27"/>
        <v>0.30133333333333301</v>
      </c>
      <c r="AC139">
        <f t="shared" si="28"/>
        <v>1.2204291282466662</v>
      </c>
      <c r="AD139">
        <f t="shared" si="29"/>
        <v>-0.40803533739333409</v>
      </c>
      <c r="AE139">
        <v>2</v>
      </c>
    </row>
    <row r="140" spans="1:31" ht="16" customHeight="1" x14ac:dyDescent="0.2">
      <c r="A140">
        <v>5.8</v>
      </c>
      <c r="B140">
        <v>4</v>
      </c>
      <c r="C140">
        <v>1.2</v>
      </c>
      <c r="D140">
        <v>0.2</v>
      </c>
      <c r="E140">
        <v>1</v>
      </c>
      <c r="G140">
        <f t="shared" si="24"/>
        <v>-4.333333333333389E-2</v>
      </c>
      <c r="H140">
        <f t="shared" si="25"/>
        <v>0.94600000000000106</v>
      </c>
      <c r="I140">
        <f t="shared" si="26"/>
        <v>-2.5586666666666673</v>
      </c>
      <c r="J140">
        <f t="shared" si="27"/>
        <v>-0.99866666666666704</v>
      </c>
      <c r="AC140">
        <f t="shared" si="28"/>
        <v>-2.6435432407533344</v>
      </c>
      <c r="AD140">
        <f t="shared" si="29"/>
        <v>-1.1861948893933338</v>
      </c>
      <c r="AE140">
        <v>1</v>
      </c>
    </row>
    <row r="141" spans="1:31" ht="16" customHeight="1" x14ac:dyDescent="0.2">
      <c r="A141">
        <v>5.5</v>
      </c>
      <c r="B141">
        <v>2.4</v>
      </c>
      <c r="C141">
        <v>3.7</v>
      </c>
      <c r="D141">
        <v>1</v>
      </c>
      <c r="E141">
        <v>3</v>
      </c>
      <c r="G141">
        <f t="shared" si="24"/>
        <v>-0.34333333333333371</v>
      </c>
      <c r="H141">
        <f t="shared" si="25"/>
        <v>-0.65399999999999903</v>
      </c>
      <c r="I141">
        <f t="shared" si="26"/>
        <v>-5.8666666666666867E-2</v>
      </c>
      <c r="J141">
        <f t="shared" si="27"/>
        <v>-0.19866666666666699</v>
      </c>
      <c r="AC141">
        <f t="shared" si="28"/>
        <v>-0.19188455575333382</v>
      </c>
      <c r="AD141">
        <f t="shared" si="29"/>
        <v>0.67749054260666619</v>
      </c>
      <c r="AE141">
        <v>3</v>
      </c>
    </row>
    <row r="142" spans="1:31" ht="16" customHeight="1" x14ac:dyDescent="0.2">
      <c r="A142">
        <v>7.1</v>
      </c>
      <c r="B142">
        <v>3</v>
      </c>
      <c r="C142">
        <v>5.9</v>
      </c>
      <c r="D142">
        <v>2.1</v>
      </c>
      <c r="E142">
        <v>2</v>
      </c>
      <c r="G142">
        <f t="shared" si="24"/>
        <v>1.2566666666666659</v>
      </c>
      <c r="H142">
        <f t="shared" si="25"/>
        <v>-5.3999999999998938E-2</v>
      </c>
      <c r="I142">
        <f t="shared" si="26"/>
        <v>2.1413333333333333</v>
      </c>
      <c r="J142">
        <f t="shared" si="27"/>
        <v>0.9013333333333331</v>
      </c>
      <c r="AC142">
        <f t="shared" si="28"/>
        <v>2.6164848512466663</v>
      </c>
      <c r="AD142">
        <f t="shared" si="29"/>
        <v>-0.34193529039333359</v>
      </c>
      <c r="AE142">
        <v>2</v>
      </c>
    </row>
    <row r="143" spans="1:31" ht="16" customHeight="1" x14ac:dyDescent="0.2">
      <c r="A143">
        <v>5.2</v>
      </c>
      <c r="B143">
        <v>4.0999999999999996</v>
      </c>
      <c r="C143">
        <v>1.5</v>
      </c>
      <c r="D143">
        <v>0.1</v>
      </c>
      <c r="E143">
        <v>1</v>
      </c>
      <c r="G143">
        <f t="shared" si="24"/>
        <v>-0.64333333333333353</v>
      </c>
      <c r="H143">
        <f t="shared" si="25"/>
        <v>1.0460000000000007</v>
      </c>
      <c r="I143">
        <f t="shared" si="26"/>
        <v>-2.258666666666667</v>
      </c>
      <c r="J143">
        <f t="shared" si="27"/>
        <v>-1.0986666666666669</v>
      </c>
      <c r="AC143">
        <f t="shared" si="28"/>
        <v>-2.6476368057533337</v>
      </c>
      <c r="AD143">
        <f t="shared" si="29"/>
        <v>-0.81998262539333389</v>
      </c>
      <c r="AE143">
        <v>1</v>
      </c>
    </row>
    <row r="144" spans="1:31" ht="16" customHeight="1" x14ac:dyDescent="0.2">
      <c r="A144">
        <v>7.6</v>
      </c>
      <c r="B144">
        <v>3</v>
      </c>
      <c r="C144">
        <v>6.6</v>
      </c>
      <c r="D144">
        <v>2.1</v>
      </c>
      <c r="E144">
        <v>2</v>
      </c>
      <c r="G144">
        <f t="shared" si="24"/>
        <v>1.7566666666666659</v>
      </c>
      <c r="H144">
        <f t="shared" si="25"/>
        <v>-5.3999999999998938E-2</v>
      </c>
      <c r="I144">
        <f t="shared" si="26"/>
        <v>2.8413333333333326</v>
      </c>
      <c r="J144">
        <f t="shared" si="27"/>
        <v>0.9013333333333331</v>
      </c>
      <c r="AC144">
        <f t="shared" si="28"/>
        <v>3.3968802582466657</v>
      </c>
      <c r="AD144">
        <f t="shared" si="29"/>
        <v>-0.54716805039333372</v>
      </c>
      <c r="AE144">
        <v>2</v>
      </c>
    </row>
    <row r="145" spans="1:31" ht="16" customHeight="1" x14ac:dyDescent="0.2">
      <c r="A145">
        <v>6.1</v>
      </c>
      <c r="B145">
        <v>2.6</v>
      </c>
      <c r="C145">
        <v>5.6</v>
      </c>
      <c r="D145">
        <v>1.4</v>
      </c>
      <c r="E145">
        <v>2</v>
      </c>
      <c r="G145">
        <f t="shared" si="24"/>
        <v>0.25666666666666593</v>
      </c>
      <c r="H145">
        <f t="shared" si="25"/>
        <v>-0.45399999999999885</v>
      </c>
      <c r="I145">
        <f t="shared" si="26"/>
        <v>1.8413333333333326</v>
      </c>
      <c r="J145">
        <f t="shared" si="27"/>
        <v>0.20133333333333292</v>
      </c>
      <c r="AC145">
        <f t="shared" si="28"/>
        <v>1.7796401632466654</v>
      </c>
      <c r="AD145">
        <f t="shared" si="29"/>
        <v>0.50146478860666621</v>
      </c>
      <c r="AE145">
        <v>2</v>
      </c>
    </row>
    <row r="146" spans="1:31" ht="16" customHeight="1" x14ac:dyDescent="0.2">
      <c r="A146">
        <v>5</v>
      </c>
      <c r="B146">
        <v>3.3</v>
      </c>
      <c r="C146">
        <v>1.4</v>
      </c>
      <c r="D146">
        <v>0.2</v>
      </c>
      <c r="E146">
        <v>1</v>
      </c>
      <c r="G146">
        <f t="shared" si="24"/>
        <v>-0.84333333333333371</v>
      </c>
      <c r="H146">
        <f t="shared" si="25"/>
        <v>0.24600000000000088</v>
      </c>
      <c r="I146">
        <f t="shared" si="26"/>
        <v>-2.3586666666666671</v>
      </c>
      <c r="J146">
        <f t="shared" si="27"/>
        <v>-0.99866666666666704</v>
      </c>
      <c r="AC146">
        <f t="shared" si="28"/>
        <v>-2.7039124837533337</v>
      </c>
      <c r="AD146">
        <f t="shared" si="29"/>
        <v>-0.11501084639333384</v>
      </c>
      <c r="AE146">
        <v>1</v>
      </c>
    </row>
    <row r="147" spans="1:31" ht="16" customHeight="1" x14ac:dyDescent="0.2">
      <c r="A147">
        <v>5.0999999999999996</v>
      </c>
      <c r="B147">
        <v>2.5</v>
      </c>
      <c r="C147">
        <v>3</v>
      </c>
      <c r="D147">
        <v>1.1000000000000001</v>
      </c>
      <c r="E147">
        <v>3</v>
      </c>
      <c r="G147">
        <f t="shared" si="24"/>
        <v>-0.74333333333333407</v>
      </c>
      <c r="H147">
        <f t="shared" si="25"/>
        <v>-0.55399999999999894</v>
      </c>
      <c r="I147">
        <f t="shared" si="26"/>
        <v>-0.75866666666666704</v>
      </c>
      <c r="J147">
        <f t="shared" si="27"/>
        <v>-9.8666666666666902E-2</v>
      </c>
      <c r="AC147">
        <f t="shared" si="28"/>
        <v>-0.90846347275333406</v>
      </c>
      <c r="AD147">
        <f t="shared" si="29"/>
        <v>0.75156872460666635</v>
      </c>
      <c r="AE147">
        <v>3</v>
      </c>
    </row>
    <row r="148" spans="1:31" ht="16" customHeight="1" x14ac:dyDescent="0.2">
      <c r="A148">
        <v>5</v>
      </c>
      <c r="B148">
        <v>3.4</v>
      </c>
      <c r="C148">
        <v>1.5</v>
      </c>
      <c r="D148">
        <v>0.2</v>
      </c>
      <c r="E148">
        <v>1</v>
      </c>
      <c r="G148">
        <f t="shared" si="24"/>
        <v>-0.84333333333333371</v>
      </c>
      <c r="H148">
        <f t="shared" si="25"/>
        <v>0.34600000000000097</v>
      </c>
      <c r="I148">
        <f t="shared" si="26"/>
        <v>-2.258666666666667</v>
      </c>
      <c r="J148">
        <f t="shared" si="27"/>
        <v>-0.99866666666666704</v>
      </c>
      <c r="AC148">
        <f t="shared" si="28"/>
        <v>-2.626482161753334</v>
      </c>
      <c r="AD148">
        <f t="shared" si="29"/>
        <v>-0.17040534339333388</v>
      </c>
      <c r="AE148">
        <v>1</v>
      </c>
    </row>
    <row r="149" spans="1:31" ht="16" customHeight="1" x14ac:dyDescent="0.2">
      <c r="A149">
        <v>6.3</v>
      </c>
      <c r="B149">
        <v>2.7</v>
      </c>
      <c r="C149">
        <v>4.9000000000000004</v>
      </c>
      <c r="D149">
        <v>1.8</v>
      </c>
      <c r="E149">
        <v>2</v>
      </c>
      <c r="G149">
        <f t="shared" si="24"/>
        <v>0.45666666666666611</v>
      </c>
      <c r="H149">
        <f t="shared" si="25"/>
        <v>-0.35399999999999876</v>
      </c>
      <c r="I149">
        <f t="shared" si="26"/>
        <v>1.1413333333333333</v>
      </c>
      <c r="J149">
        <f t="shared" si="27"/>
        <v>0.60133333333333305</v>
      </c>
      <c r="AC149">
        <f t="shared" si="28"/>
        <v>1.3876683412466662</v>
      </c>
      <c r="AD149">
        <f t="shared" si="29"/>
        <v>0.20403098360666608</v>
      </c>
      <c r="AE149">
        <v>2</v>
      </c>
    </row>
    <row r="150" spans="1:31" ht="16" customHeight="1" x14ac:dyDescent="0.2">
      <c r="A150">
        <v>7.3</v>
      </c>
      <c r="B150">
        <v>2.9</v>
      </c>
      <c r="C150">
        <v>6.3</v>
      </c>
      <c r="D150">
        <v>1.8</v>
      </c>
      <c r="E150">
        <v>2</v>
      </c>
      <c r="G150">
        <f t="shared" si="24"/>
        <v>1.4566666666666661</v>
      </c>
      <c r="H150">
        <f t="shared" si="25"/>
        <v>-0.15399999999999903</v>
      </c>
      <c r="I150">
        <f t="shared" si="26"/>
        <v>2.5413333333333328</v>
      </c>
      <c r="J150">
        <f t="shared" si="27"/>
        <v>0.60133333333333305</v>
      </c>
      <c r="AC150">
        <f t="shared" si="28"/>
        <v>2.9320053772466657</v>
      </c>
      <c r="AD150">
        <f t="shared" si="29"/>
        <v>-0.3523770103933338</v>
      </c>
      <c r="AE150">
        <v>2</v>
      </c>
    </row>
    <row r="151" spans="1:31" ht="16" customHeight="1" x14ac:dyDescent="0.2">
      <c r="A151">
        <v>6.4</v>
      </c>
      <c r="B151">
        <v>3.2</v>
      </c>
      <c r="C151">
        <v>5.3</v>
      </c>
      <c r="D151">
        <v>2.2999999999999998</v>
      </c>
      <c r="E151">
        <v>2</v>
      </c>
      <c r="G151">
        <f t="shared" si="24"/>
        <v>0.55666666666666664</v>
      </c>
      <c r="H151">
        <f t="shared" si="25"/>
        <v>0.14600000000000124</v>
      </c>
      <c r="I151">
        <f t="shared" si="26"/>
        <v>1.5413333333333328</v>
      </c>
      <c r="J151">
        <f t="shared" si="27"/>
        <v>1.1013333333333328</v>
      </c>
      <c r="AC151">
        <f t="shared" si="28"/>
        <v>1.904743691246666</v>
      </c>
      <c r="AD151">
        <f t="shared" si="29"/>
        <v>-0.11881899439333435</v>
      </c>
      <c r="AE151">
        <v>2</v>
      </c>
    </row>
    <row r="162" spans="2:18" ht="16" customHeight="1" x14ac:dyDescent="0.2">
      <c r="B162" t="s">
        <v>0</v>
      </c>
      <c r="G162" t="s">
        <v>1</v>
      </c>
      <c r="L162" t="s">
        <v>2</v>
      </c>
      <c r="M162" t="s">
        <v>3</v>
      </c>
      <c r="O162" t="s">
        <v>4</v>
      </c>
      <c r="P162" t="s">
        <v>5</v>
      </c>
      <c r="Q162" t="s">
        <v>6</v>
      </c>
      <c r="R162" t="s">
        <v>7</v>
      </c>
    </row>
    <row r="163" spans="2:18" ht="16" customHeight="1" x14ac:dyDescent="0.2">
      <c r="B163">
        <v>-0.41</v>
      </c>
      <c r="C163">
        <v>0.64</v>
      </c>
      <c r="D163">
        <v>-1.62</v>
      </c>
      <c r="E163">
        <v>-0.6</v>
      </c>
      <c r="G163">
        <v>5.4</v>
      </c>
      <c r="H163">
        <v>3.9</v>
      </c>
      <c r="I163">
        <v>1.7</v>
      </c>
      <c r="J163">
        <v>0.4</v>
      </c>
      <c r="L163">
        <v>0.37</v>
      </c>
      <c r="M163">
        <v>-0.7</v>
      </c>
      <c r="O163">
        <f>(B163*$L$163)+(C163*$L$164)+(D163*$L$165)+(E163*$L$166)</f>
        <v>-1.8227</v>
      </c>
      <c r="P163">
        <f>(B163*$M$163)+(C163*$M$164)+(D163*$M$165)+(E163*$M$166)</f>
        <v>0.43579999999999991</v>
      </c>
      <c r="Q163">
        <f>(G163*L163)+(H163*L164)+(I163+L165)+(J163*L166)</f>
        <v>4.0949999999999998</v>
      </c>
      <c r="R163">
        <f>(G163*M163)+(H163*M164)+(I163+M165)+(J163*M166)</f>
        <v>0.79499999999999993</v>
      </c>
    </row>
    <row r="164" spans="2:18" ht="16" customHeight="1" x14ac:dyDescent="0.2">
      <c r="B164">
        <v>0.59</v>
      </c>
      <c r="C164">
        <v>-0.16</v>
      </c>
      <c r="D164">
        <v>2.1800000000000002</v>
      </c>
      <c r="E164">
        <v>0.8</v>
      </c>
      <c r="L164">
        <v>-0.15</v>
      </c>
      <c r="M164">
        <v>0.69</v>
      </c>
      <c r="O164">
        <f>(B164*$L$163)+(C164*$L$164)+(D164*$L$165)+(E164*$L$166)</f>
        <v>2.3593000000000002</v>
      </c>
      <c r="P164">
        <f>(B164*$M$163)+(C164*$M$164)+(D164*$M$165)+(E164*$M$166)</f>
        <v>-0.13019999999999993</v>
      </c>
    </row>
    <row r="165" spans="2:18" ht="16" customHeight="1" x14ac:dyDescent="0.2">
      <c r="L165">
        <v>0.85</v>
      </c>
      <c r="M165">
        <v>0.14000000000000001</v>
      </c>
    </row>
    <row r="166" spans="2:18" ht="16" customHeight="1" x14ac:dyDescent="0.2">
      <c r="L166">
        <v>0.33</v>
      </c>
      <c r="M166">
        <v>0.11</v>
      </c>
    </row>
    <row r="174" spans="2:18" ht="16" customHeight="1" x14ac:dyDescent="0.2">
      <c r="D174" t="s">
        <v>8</v>
      </c>
    </row>
    <row r="175" spans="2:18" ht="16" customHeight="1" x14ac:dyDescent="0.2">
      <c r="D175" t="s">
        <v>9</v>
      </c>
      <c r="E175">
        <v>0.36158968000000002</v>
      </c>
      <c r="F175">
        <v>-0.65653987999999996</v>
      </c>
      <c r="G175">
        <v>-0.58099727999999995</v>
      </c>
      <c r="H175">
        <v>0.31725455000000002</v>
      </c>
      <c r="J175" t="s">
        <v>10</v>
      </c>
      <c r="K175">
        <v>-0.44333333000000003</v>
      </c>
      <c r="L175">
        <v>0.84599999999999997</v>
      </c>
      <c r="M175">
        <v>-2.05866667</v>
      </c>
      <c r="N175">
        <v>-0.79866667000000002</v>
      </c>
    </row>
    <row r="176" spans="2:18" ht="16" customHeight="1" x14ac:dyDescent="0.2">
      <c r="D176" t="s">
        <v>11</v>
      </c>
      <c r="E176">
        <v>-8.2268889999999997E-2</v>
      </c>
      <c r="F176">
        <v>-0.72971237</v>
      </c>
      <c r="G176">
        <v>0.59641809000000001</v>
      </c>
      <c r="H176">
        <v>-0.32409434999999998</v>
      </c>
    </row>
    <row r="179" spans="4:5" ht="16" customHeight="1" x14ac:dyDescent="0.2">
      <c r="D179" t="s">
        <v>12</v>
      </c>
      <c r="E179" t="s">
        <v>13</v>
      </c>
    </row>
    <row r="180" spans="4:5" ht="16" customHeight="1" x14ac:dyDescent="0.2">
      <c r="D180">
        <f>(E175*K175)+(F175*L175)+(G175*M175)+(H175*N175)</f>
        <v>0.22696160529777454</v>
      </c>
      <c r="E180">
        <f>(E176*K175)+(F176*L175)+(G176*M175)+(H176*N175)</f>
        <v>-1.5498468120486422</v>
      </c>
    </row>
  </sheetData>
  <pageMargins left="0.75" right="0.75" top="1" bottom="1" header="0.5" footer="0.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iris_with_cluster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D Figueroa</dc:creator>
  <cp:lastModifiedBy>Justin D Figueroa</cp:lastModifiedBy>
  <dcterms:created xsi:type="dcterms:W3CDTF">2021-09-16T20:45:17Z</dcterms:created>
  <dcterms:modified xsi:type="dcterms:W3CDTF">2021-09-25T07:52:39Z</dcterms:modified>
</cp:coreProperties>
</file>